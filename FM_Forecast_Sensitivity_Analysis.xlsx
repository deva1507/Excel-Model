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vak\OneDrive\Desktop\01)Final\"/>
    </mc:Choice>
  </mc:AlternateContent>
  <xr:revisionPtr revIDLastSave="0" documentId="13_ncr:1_{6A5FB175-0D50-4458-8C1F-E6DF66A39A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C20" i="1" s="1"/>
  <c r="C21" i="1" s="1"/>
  <c r="C22" i="1" s="1"/>
  <c r="C16" i="1"/>
  <c r="D17" i="1"/>
  <c r="D18" i="1" s="1"/>
  <c r="D19" i="1" s="1"/>
  <c r="D20" i="1" s="1"/>
  <c r="D21" i="1" s="1"/>
  <c r="D22" i="1" s="1"/>
  <c r="H21" i="1"/>
  <c r="H17" i="1"/>
  <c r="H20" i="1"/>
  <c r="H18" i="1"/>
  <c r="M16" i="1"/>
  <c r="L16" i="1"/>
  <c r="I16" i="1"/>
  <c r="J16" i="1"/>
  <c r="S9" i="1"/>
  <c r="R9" i="1"/>
  <c r="Q9" i="1"/>
  <c r="P9" i="1"/>
  <c r="O9" i="1"/>
  <c r="N9" i="1"/>
  <c r="M9" i="1"/>
  <c r="L9" i="1"/>
  <c r="K9" i="1"/>
  <c r="J9" i="1"/>
  <c r="I9" i="1"/>
  <c r="H9" i="1"/>
  <c r="H4" i="1"/>
  <c r="T4" i="1" l="1"/>
  <c r="C13" i="1"/>
  <c r="H6" i="1" l="1"/>
  <c r="C10" i="1"/>
  <c r="H5" i="1" s="1"/>
  <c r="H7" i="1" l="1"/>
  <c r="I4" i="1" l="1"/>
  <c r="H11" i="1"/>
  <c r="I6" i="1" l="1"/>
  <c r="I5" i="1"/>
  <c r="I7" i="1" l="1"/>
  <c r="I11" i="1" l="1"/>
  <c r="J4" i="1"/>
  <c r="J5" i="1" l="1"/>
  <c r="J6" i="1"/>
  <c r="J7" i="1" l="1"/>
  <c r="K4" i="1" s="1"/>
  <c r="J11" i="1" l="1"/>
  <c r="K5" i="1"/>
  <c r="K6" i="1"/>
  <c r="K7" i="1" l="1"/>
  <c r="K11" i="1" s="1"/>
  <c r="L4" i="1" l="1"/>
  <c r="L5" i="1" s="1"/>
  <c r="L6" i="1" l="1"/>
  <c r="L7" i="1" s="1"/>
  <c r="M4" i="1" s="1"/>
  <c r="L11" i="1" l="1"/>
  <c r="M6" i="1"/>
  <c r="M5" i="1"/>
  <c r="M7" i="1" l="1"/>
  <c r="N4" i="1" s="1"/>
  <c r="M11" i="1" l="1"/>
  <c r="N6" i="1"/>
  <c r="N5" i="1"/>
  <c r="N7" i="1" l="1"/>
  <c r="O4" i="1" s="1"/>
  <c r="N11" i="1" l="1"/>
  <c r="O6" i="1"/>
  <c r="O5" i="1"/>
  <c r="O7" i="1" l="1"/>
  <c r="P4" i="1" s="1"/>
  <c r="O11" i="1" l="1"/>
  <c r="P5" i="1"/>
  <c r="P6" i="1"/>
  <c r="P7" i="1" l="1"/>
  <c r="P11" i="1" s="1"/>
  <c r="Q4" i="1" l="1"/>
  <c r="Q6" i="1" s="1"/>
  <c r="Q5" i="1" l="1"/>
  <c r="Q7" i="1" s="1"/>
  <c r="R4" i="1" s="1"/>
  <c r="Q11" i="1" l="1"/>
  <c r="R6" i="1"/>
  <c r="R5" i="1"/>
  <c r="R7" i="1" l="1"/>
  <c r="R11" i="1" s="1"/>
  <c r="S4" i="1" l="1"/>
  <c r="S6" i="1" s="1"/>
  <c r="T6" i="1" s="1"/>
  <c r="S5" i="1" l="1"/>
  <c r="T5" i="1" s="1"/>
  <c r="T7" i="1" s="1"/>
  <c r="S7" i="1" l="1"/>
  <c r="S11" i="1" s="1"/>
  <c r="T11" i="1" s="1"/>
  <c r="H16" i="1" s="1"/>
</calcChain>
</file>

<file path=xl/sharedStrings.xml><?xml version="1.0" encoding="utf-8"?>
<sst xmlns="http://schemas.openxmlformats.org/spreadsheetml/2006/main" count="48" uniqueCount="39">
  <si>
    <t>Assumptions</t>
  </si>
  <si>
    <t>Values</t>
  </si>
  <si>
    <t>Note</t>
  </si>
  <si>
    <t>Base Price</t>
  </si>
  <si>
    <t>from py</t>
  </si>
  <si>
    <t>Price increase</t>
  </si>
  <si>
    <t>Price Increment</t>
  </si>
  <si>
    <t>to test</t>
  </si>
  <si>
    <t>Starting Customers</t>
  </si>
  <si>
    <t>Base month churn</t>
  </si>
  <si>
    <t>Churn Impact</t>
  </si>
  <si>
    <t>Monthly Churn</t>
  </si>
  <si>
    <t>from table</t>
  </si>
  <si>
    <t>Base Monthly New</t>
  </si>
  <si>
    <t>New Impact</t>
  </si>
  <si>
    <t>Monthly New</t>
  </si>
  <si>
    <t>per 2.50% △</t>
  </si>
  <si>
    <t>Price △</t>
  </si>
  <si>
    <t>Churn</t>
  </si>
  <si>
    <t>New</t>
  </si>
  <si>
    <t>Revenue Forecast</t>
  </si>
  <si>
    <t>Roll forward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</si>
  <si>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</si>
  <si>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</si>
  <si>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</si>
  <si>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</si>
  <si>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</si>
  <si>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</si>
  <si>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</si>
  <si>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</si>
  <si>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</si>
  <si>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</si>
  <si>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</si>
  <si>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</si>
  <si>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Customers (at the beginning)</t>
  </si>
  <si>
    <t>FY</t>
  </si>
  <si>
    <t>Revenue</t>
  </si>
  <si>
    <t>Cost/Widget (MRR)</t>
  </si>
  <si>
    <t>Customers (at the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</si>
</sst>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[$£-809]* #,##0.00_-;\-[$£-809]* #,##0.00_-;_-[$£-809]* &quot;-&quot;??_-;_-@_-"/>
    <numFmt numFmtId="165" formatCode="0.0%"/>
    <numFmt numFmtId="166" formatCode="0.00%;\(0.00%\)"/>
    <numFmt numFmtId="167" formatCode="_-* #,##0_-;\-* #,##0_-;_-* &quot;-&quot;??_-;_-@_-"/>
    <numFmt numFmtId="168" formatCode="0;\(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6" xfId="2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167" fontId="0" fillId="0" borderId="0" xfId="1" applyNumberFormat="1" applyFont="1" applyFill="1" applyAlignment="1">
      <alignment horizontal="right" vertical="center"/>
    </xf>
    <xf numFmtId="167" fontId="0" fillId="0" borderId="2" xfId="1" applyNumberFormat="1" applyFont="1" applyFill="1" applyBorder="1" applyAlignment="1">
      <alignment horizontal="right" vertical="center"/>
    </xf>
    <xf numFmtId="10" fontId="0" fillId="0" borderId="0" xfId="2" applyNumberFormat="1" applyFont="1" applyFill="1" applyBorder="1" applyAlignment="1">
      <alignment horizontal="center" vertical="center"/>
    </xf>
    <xf numFmtId="168" fontId="0" fillId="0" borderId="0" xfId="1" applyNumberFormat="1" applyFont="1" applyFill="1" applyAlignment="1">
      <alignment horizontal="right" vertical="center"/>
    </xf>
    <xf numFmtId="168" fontId="0" fillId="0" borderId="2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67" fontId="0" fillId="0" borderId="1" xfId="1" applyNumberFormat="1" applyFont="1" applyFill="1" applyBorder="1" applyAlignment="1">
      <alignment horizontal="right" vertical="center"/>
    </xf>
    <xf numFmtId="167" fontId="0" fillId="0" borderId="3" xfId="1" applyNumberFormat="1" applyFont="1" applyFill="1" applyBorder="1" applyAlignment="1">
      <alignment horizontal="right" vertical="center"/>
    </xf>
    <xf numFmtId="0" fontId="0" fillId="0" borderId="7" xfId="0" applyBorder="1"/>
    <xf numFmtId="167" fontId="4" fillId="0" borderId="0" xfId="1" applyNumberFormat="1" applyFont="1" applyFill="1" applyAlignment="1">
      <alignment horizontal="right" vertical="center"/>
    </xf>
    <xf numFmtId="167" fontId="4" fillId="0" borderId="2" xfId="1" applyNumberFormat="1" applyFont="1" applyFill="1" applyBorder="1" applyAlignment="1">
      <alignment horizontal="right" vertical="center"/>
    </xf>
    <xf numFmtId="165" fontId="0" fillId="0" borderId="0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4" fillId="0" borderId="1" xfId="2" applyNumberFormat="1" applyFont="1" applyFill="1" applyBorder="1" applyAlignment="1">
      <alignment horizontal="center" vertical="center"/>
    </xf>
    <xf numFmtId="166" fontId="0" fillId="0" borderId="0" xfId="2" applyNumberFormat="1" applyFont="1" applyFill="1" applyBorder="1" applyAlignment="1">
      <alignment horizontal="center" vertical="center"/>
    </xf>
    <xf numFmtId="10" fontId="4" fillId="0" borderId="0" xfId="2" applyNumberFormat="1" applyFont="1" applyFill="1" applyBorder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4" fillId="0" borderId="0" xfId="2" applyNumberFormat="1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7" fontId="0" fillId="0" borderId="0" xfId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14" fontId="4" fillId="2" borderId="0" xfId="0" applyNumberFormat="1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textRotation="90"/>
    </xf>
  </cellXfs>
  <cellStyles count="3">
    <cellStyle name="Comma" xfId="1" builtinId="3"/>
    <cellStyle name="Normal" xfId="0" builtinId="0"/>
    <cellStyle name="Percent" xfId="2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center" vertical="center" wrapText="0" indent="0" justifyLastLine="0" shrinkToFit="0" readingOrder="0"/>
    </dxf>
    <dxf>
      <border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wrapText="0" indent="0" justifyLastLine="0" shrinkToFit="0" readingOrder="0"/>
    </dxf>
    <dxf>
      <border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CB5DD3-2B5E-487D-9A5B-8662A46948C9}" name="Price_Inc_Matrix" displayName="Price_Inc_Matrix" ref="B15:D22" totalsRowShown="0" headerRowDxfId="13" dataDxfId="11" headerRowBorderDxfId="12" tableBorderDxfId="10" dataCellStyle="Percent">
  <tableColumns count="3">
    <tableColumn id="1" xr3:uid="{AEA9C30F-630C-46F5-9B71-BE5947B9B22E}" name="Price △" dataDxfId="9" dataCellStyle="Percent"/>
    <tableColumn id="2" xr3:uid="{3267CF0A-C91E-49E4-9C6A-603B53A63DF8}" name="Churn" dataDxfId="8" dataCellStyle="Percent"/>
    <tableColumn id="3" xr3:uid="{DD3D4A8B-C3C9-498E-BBC6-19EC0BB4909A}" name="New" dataDxfId="7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D1C019-953A-484B-9264-53FE024C9A1D}" name="Data" displayName="Data" ref="B3:D13" totalsRowShown="0" headerRowDxfId="6" dataDxfId="4" headerRowBorderDxfId="5" tableBorderDxfId="3">
  <tableColumns count="3">
    <tableColumn id="1" xr3:uid="{76F2105A-0382-4C45-BA09-79A371985AC4}" name="Assumptions" dataDxfId="2"/>
    <tableColumn id="2" xr3:uid="{8B07A3A9-8263-4889-BE96-44D3316A1D4D}" name="Values" dataDxfId="1" dataCellStyle="Percent"/>
    <tableColumn id="3" xr3:uid="{4D277EFE-92FA-4596-BEA2-F406F9611864}" name="Note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22"/>
  <sheetViews>
    <sheetView showGridLines="0" tabSelected="1" workbookViewId="0">
      <selection activeCell="P25" sqref="P25"/>
    </sheetView>
  </sheetViews>
  <sheetFormatPr defaultRowHeight="14.4" x14ac:dyDescent="0.3"/>
  <cols>
    <col min="1" max="1" width="2.33203125" style="1" customWidth="1"/>
    <col min="2" max="2" width="16.44140625" style="1" bestFit="1" customWidth="1"/>
    <col min="3" max="3" width="8.88671875" style="1"/>
    <col min="4" max="4" width="11.21875" style="1" bestFit="1" customWidth="1"/>
    <col min="5" max="5" width="2.77734375" style="1" customWidth="1"/>
    <col min="6" max="6" width="2.6640625" style="1" customWidth="1"/>
    <col min="7" max="7" width="23.88671875" style="1" customWidth="1"/>
    <col min="8" max="20" width="10.21875" style="1" customWidth="1"/>
    <col min="21" max="16384" width="8.88671875" style="1"/>
  </cols>
  <sheetData>
    <row r="2" spans="2:20" ht="18.600000000000001" thickBot="1" x14ac:dyDescent="0.35">
      <c r="G2" s="2" t="s">
        <v>20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2:20" ht="15" thickBot="1" x14ac:dyDescent="0.35">
      <c r="B3" s="4" t="s">
        <v>0</v>
      </c>
      <c r="C3" s="5" t="s">
        <v>1</v>
      </c>
      <c r="D3" s="6" t="s">
        <v>2</v>
      </c>
      <c r="G3" s="34" t="s">
        <v>21</v>
      </c>
      <c r="H3" s="35" t="s">
        <v>22</v>
      </c>
      <c r="I3" s="34" t="s">
        <v>23</v>
      </c>
      <c r="J3" s="35" t="s">
        <v>24</v>
      </c>
      <c r="K3" s="34" t="s">
        <v>25</v>
      </c>
      <c r="L3" s="35" t="s">
        <v>26</v>
      </c>
      <c r="M3" s="34" t="s">
        <v>27</v>
      </c>
      <c r="N3" s="35" t="s">
        <v>28</v>
      </c>
      <c r="O3" s="34" t="s">
        <v>29</v>
      </c>
      <c r="P3" s="35" t="s">
        <v>30</v>
      </c>
      <c r="Q3" s="34" t="s">
        <v>31</v>
      </c>
      <c r="R3" s="35" t="s">
        <v>32</v>
      </c>
      <c r="S3" s="36" t="s">
        <v>33</v>
      </c>
      <c r="T3" s="35" t="s">
        <v>35</v>
      </c>
    </row>
    <row r="4" spans="2:20" x14ac:dyDescent="0.3">
      <c r="B4" s="1" t="s">
        <v>3</v>
      </c>
      <c r="C4" s="8">
        <v>100</v>
      </c>
      <c r="D4" s="9" t="s">
        <v>4</v>
      </c>
      <c r="G4" s="3" t="s">
        <v>34</v>
      </c>
      <c r="H4" s="10">
        <f>C7</f>
        <v>1000</v>
      </c>
      <c r="I4" s="10">
        <f>H7</f>
        <v>965</v>
      </c>
      <c r="J4" s="10">
        <f t="shared" ref="J4:S4" si="0">I7</f>
        <v>931</v>
      </c>
      <c r="K4" s="10">
        <f t="shared" si="0"/>
        <v>899</v>
      </c>
      <c r="L4" s="10">
        <f t="shared" si="0"/>
        <v>867</v>
      </c>
      <c r="M4" s="10">
        <f t="shared" si="0"/>
        <v>836</v>
      </c>
      <c r="N4" s="10">
        <f t="shared" si="0"/>
        <v>807</v>
      </c>
      <c r="O4" s="10">
        <f t="shared" si="0"/>
        <v>779</v>
      </c>
      <c r="P4" s="10">
        <f t="shared" si="0"/>
        <v>752</v>
      </c>
      <c r="Q4" s="10">
        <f t="shared" si="0"/>
        <v>726</v>
      </c>
      <c r="R4" s="10">
        <f t="shared" si="0"/>
        <v>701</v>
      </c>
      <c r="S4" s="11">
        <f t="shared" si="0"/>
        <v>677</v>
      </c>
      <c r="T4" s="10">
        <f>H4</f>
        <v>1000</v>
      </c>
    </row>
    <row r="5" spans="2:20" x14ac:dyDescent="0.3">
      <c r="B5" s="1" t="s">
        <v>5</v>
      </c>
      <c r="C5" s="12">
        <v>0.15</v>
      </c>
      <c r="D5" s="9"/>
      <c r="G5" s="3" t="s">
        <v>18</v>
      </c>
      <c r="H5" s="13">
        <f>-ROUND(H4*$C$10,0)</f>
        <v>-40</v>
      </c>
      <c r="I5" s="13">
        <f>-ROUND(I4*$C$10,0)</f>
        <v>-39</v>
      </c>
      <c r="J5" s="13">
        <f t="shared" ref="J5:S5" si="1">-ROUND(J4*$C$10,0)</f>
        <v>-37</v>
      </c>
      <c r="K5" s="13">
        <f t="shared" si="1"/>
        <v>-36</v>
      </c>
      <c r="L5" s="13">
        <f t="shared" si="1"/>
        <v>-35</v>
      </c>
      <c r="M5" s="13">
        <f t="shared" si="1"/>
        <v>-33</v>
      </c>
      <c r="N5" s="13">
        <f t="shared" si="1"/>
        <v>-32</v>
      </c>
      <c r="O5" s="13">
        <f t="shared" si="1"/>
        <v>-31</v>
      </c>
      <c r="P5" s="13">
        <f t="shared" si="1"/>
        <v>-30</v>
      </c>
      <c r="Q5" s="13">
        <f t="shared" si="1"/>
        <v>-29</v>
      </c>
      <c r="R5" s="13">
        <f t="shared" si="1"/>
        <v>-28</v>
      </c>
      <c r="S5" s="14">
        <f t="shared" si="1"/>
        <v>-27</v>
      </c>
      <c r="T5" s="13">
        <f>SUM(H5:S5)</f>
        <v>-397</v>
      </c>
    </row>
    <row r="6" spans="2:20" ht="15" thickBot="1" x14ac:dyDescent="0.35">
      <c r="B6" s="15" t="s">
        <v>6</v>
      </c>
      <c r="C6" s="16">
        <v>2.5000000000000001E-2</v>
      </c>
      <c r="D6" s="17" t="s">
        <v>7</v>
      </c>
      <c r="G6" s="18" t="s">
        <v>19</v>
      </c>
      <c r="H6" s="19">
        <f>ROUND(H4*$C$13,0)</f>
        <v>5</v>
      </c>
      <c r="I6" s="19">
        <f>ROUND(I4*$C$13,0)</f>
        <v>5</v>
      </c>
      <c r="J6" s="19">
        <f t="shared" ref="J6:S6" si="2">ROUND(J4*$C$13,0)</f>
        <v>5</v>
      </c>
      <c r="K6" s="19">
        <f t="shared" si="2"/>
        <v>4</v>
      </c>
      <c r="L6" s="19">
        <f t="shared" si="2"/>
        <v>4</v>
      </c>
      <c r="M6" s="19">
        <f t="shared" si="2"/>
        <v>4</v>
      </c>
      <c r="N6" s="19">
        <f t="shared" si="2"/>
        <v>4</v>
      </c>
      <c r="O6" s="19">
        <f t="shared" si="2"/>
        <v>4</v>
      </c>
      <c r="P6" s="19">
        <f t="shared" si="2"/>
        <v>4</v>
      </c>
      <c r="Q6" s="19">
        <f t="shared" si="2"/>
        <v>4</v>
      </c>
      <c r="R6" s="19">
        <f t="shared" si="2"/>
        <v>4</v>
      </c>
      <c r="S6" s="20">
        <f t="shared" si="2"/>
        <v>3</v>
      </c>
      <c r="T6" s="21">
        <f>SUM(H6:S6)</f>
        <v>50</v>
      </c>
    </row>
    <row r="7" spans="2:20" ht="15" thickBot="1" x14ac:dyDescent="0.35">
      <c r="B7" s="15" t="s">
        <v>8</v>
      </c>
      <c r="C7" s="15">
        <v>1000</v>
      </c>
      <c r="D7" s="17" t="s">
        <v>4</v>
      </c>
      <c r="G7" s="7" t="s">
        <v>38</v>
      </c>
      <c r="H7" s="22">
        <f>SUM(H4:H6)</f>
        <v>965</v>
      </c>
      <c r="I7" s="22">
        <f>SUM(I4:I6)</f>
        <v>931</v>
      </c>
      <c r="J7" s="22">
        <f t="shared" ref="J7:S7" si="3">SUM(J4:J6)</f>
        <v>899</v>
      </c>
      <c r="K7" s="22">
        <f t="shared" si="3"/>
        <v>867</v>
      </c>
      <c r="L7" s="22">
        <f t="shared" si="3"/>
        <v>836</v>
      </c>
      <c r="M7" s="22">
        <f t="shared" si="3"/>
        <v>807</v>
      </c>
      <c r="N7" s="22">
        <f t="shared" si="3"/>
        <v>779</v>
      </c>
      <c r="O7" s="22">
        <f t="shared" si="3"/>
        <v>752</v>
      </c>
      <c r="P7" s="22">
        <f t="shared" si="3"/>
        <v>726</v>
      </c>
      <c r="Q7" s="22">
        <f t="shared" si="3"/>
        <v>701</v>
      </c>
      <c r="R7" s="22">
        <f t="shared" si="3"/>
        <v>677</v>
      </c>
      <c r="S7" s="23">
        <f t="shared" si="3"/>
        <v>653</v>
      </c>
      <c r="T7" s="22">
        <f>SUM(T4:T6)</f>
        <v>653</v>
      </c>
    </row>
    <row r="8" spans="2:20" x14ac:dyDescent="0.3">
      <c r="B8" s="1" t="s">
        <v>9</v>
      </c>
      <c r="C8" s="9">
        <v>0.01</v>
      </c>
      <c r="D8" s="9" t="s">
        <v>4</v>
      </c>
      <c r="G8" s="3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/>
      <c r="T8" s="10"/>
    </row>
    <row r="9" spans="2:20" x14ac:dyDescent="0.3">
      <c r="B9" s="1" t="s">
        <v>10</v>
      </c>
      <c r="C9" s="24">
        <v>5.0000000000000001E-3</v>
      </c>
      <c r="D9" s="9" t="s">
        <v>16</v>
      </c>
      <c r="G9" s="25" t="s">
        <v>37</v>
      </c>
      <c r="H9" s="10">
        <f>$C$4*(1+$C$5)</f>
        <v>114.99999999999999</v>
      </c>
      <c r="I9" s="10">
        <f t="shared" ref="I9:S9" si="4">$C$4*(1+$C$5)</f>
        <v>114.99999999999999</v>
      </c>
      <c r="J9" s="10">
        <f t="shared" si="4"/>
        <v>114.99999999999999</v>
      </c>
      <c r="K9" s="10">
        <f t="shared" si="4"/>
        <v>114.99999999999999</v>
      </c>
      <c r="L9" s="10">
        <f t="shared" si="4"/>
        <v>114.99999999999999</v>
      </c>
      <c r="M9" s="10">
        <f t="shared" si="4"/>
        <v>114.99999999999999</v>
      </c>
      <c r="N9" s="10">
        <f t="shared" si="4"/>
        <v>114.99999999999999</v>
      </c>
      <c r="O9" s="10">
        <f t="shared" si="4"/>
        <v>114.99999999999999</v>
      </c>
      <c r="P9" s="10">
        <f t="shared" si="4"/>
        <v>114.99999999999999</v>
      </c>
      <c r="Q9" s="10">
        <f t="shared" si="4"/>
        <v>114.99999999999999</v>
      </c>
      <c r="R9" s="10">
        <f t="shared" si="4"/>
        <v>114.99999999999999</v>
      </c>
      <c r="S9" s="11">
        <f t="shared" si="4"/>
        <v>114.99999999999999</v>
      </c>
      <c r="T9" s="10"/>
    </row>
    <row r="10" spans="2:20" ht="15" thickBot="1" x14ac:dyDescent="0.35">
      <c r="B10" s="15" t="s">
        <v>11</v>
      </c>
      <c r="C10" s="26">
        <f>_xlfn.XLOOKUP(C5,B16:B22,C16:C22)</f>
        <v>0.04</v>
      </c>
      <c r="D10" s="17" t="s">
        <v>12</v>
      </c>
      <c r="G10" s="3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/>
      <c r="T10" s="10"/>
    </row>
    <row r="11" spans="2:20" x14ac:dyDescent="0.3">
      <c r="B11" s="1" t="s">
        <v>13</v>
      </c>
      <c r="C11" s="24">
        <v>0.02</v>
      </c>
      <c r="D11" s="9" t="s">
        <v>4</v>
      </c>
      <c r="G11" s="7" t="s">
        <v>36</v>
      </c>
      <c r="H11" s="22">
        <f>H7*H9</f>
        <v>110974.99999999999</v>
      </c>
      <c r="I11" s="22">
        <f t="shared" ref="I11:S11" si="5">I7*I9</f>
        <v>107064.99999999999</v>
      </c>
      <c r="J11" s="22">
        <f t="shared" si="5"/>
        <v>103384.99999999999</v>
      </c>
      <c r="K11" s="22">
        <f t="shared" si="5"/>
        <v>99704.999999999985</v>
      </c>
      <c r="L11" s="22">
        <f t="shared" si="5"/>
        <v>96139.999999999985</v>
      </c>
      <c r="M11" s="22">
        <f t="shared" si="5"/>
        <v>92804.999999999985</v>
      </c>
      <c r="N11" s="22">
        <f t="shared" si="5"/>
        <v>89584.999999999985</v>
      </c>
      <c r="O11" s="22">
        <f t="shared" si="5"/>
        <v>86479.999999999985</v>
      </c>
      <c r="P11" s="22">
        <f t="shared" si="5"/>
        <v>83489.999999999985</v>
      </c>
      <c r="Q11" s="22">
        <f t="shared" si="5"/>
        <v>80614.999999999985</v>
      </c>
      <c r="R11" s="22">
        <f t="shared" si="5"/>
        <v>77854.999999999985</v>
      </c>
      <c r="S11" s="23">
        <f t="shared" si="5"/>
        <v>75094.999999999985</v>
      </c>
      <c r="T11" s="22">
        <f>SUM(H11:S11)</f>
        <v>1103194.9999999998</v>
      </c>
    </row>
    <row r="12" spans="2:20" x14ac:dyDescent="0.3">
      <c r="B12" s="1" t="s">
        <v>14</v>
      </c>
      <c r="C12" s="27">
        <v>-2.5000000000000001E-3</v>
      </c>
      <c r="D12" s="9" t="s">
        <v>16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2:20" x14ac:dyDescent="0.3">
      <c r="B13" s="1" t="s">
        <v>15</v>
      </c>
      <c r="C13" s="28">
        <f>_xlfn.XLOOKUP(C5,B16:B22,D16:D22)</f>
        <v>4.9999999999999992E-3</v>
      </c>
      <c r="D13" s="9" t="s">
        <v>12</v>
      </c>
    </row>
    <row r="14" spans="2:20" ht="15" thickBot="1" x14ac:dyDescent="0.35"/>
    <row r="15" spans="2:20" ht="15" thickBot="1" x14ac:dyDescent="0.35">
      <c r="B15" s="4" t="s">
        <v>17</v>
      </c>
      <c r="C15" s="5" t="s">
        <v>18</v>
      </c>
      <c r="D15" s="6" t="s">
        <v>19</v>
      </c>
      <c r="I15" s="37" t="s">
        <v>10</v>
      </c>
      <c r="J15" s="37"/>
      <c r="K15" s="37"/>
      <c r="L15" s="37"/>
      <c r="M15" s="37"/>
    </row>
    <row r="16" spans="2:20" ht="14.4" customHeight="1" x14ac:dyDescent="0.3">
      <c r="B16" s="12">
        <v>0</v>
      </c>
      <c r="C16" s="12">
        <f>C8</f>
        <v>0.01</v>
      </c>
      <c r="D16" s="12">
        <v>0.02</v>
      </c>
      <c r="G16" s="38" t="s">
        <v>14</v>
      </c>
      <c r="H16" s="29">
        <f>T11</f>
        <v>1103194.9999999998</v>
      </c>
      <c r="I16" s="30">
        <f>J16-0.0025</f>
        <v>0</v>
      </c>
      <c r="J16" s="30">
        <f>K16-0.0025</f>
        <v>2.5000000000000001E-3</v>
      </c>
      <c r="K16" s="31">
        <v>5.0000000000000001E-3</v>
      </c>
      <c r="L16" s="30">
        <f>K16+0.0025</f>
        <v>7.4999999999999997E-3</v>
      </c>
      <c r="M16" s="30">
        <f>L16+0.0025</f>
        <v>0.01</v>
      </c>
    </row>
    <row r="17" spans="2:13" x14ac:dyDescent="0.3">
      <c r="B17" s="12">
        <v>2.5000000000000001E-2</v>
      </c>
      <c r="C17" s="12">
        <f>C16+$C$9</f>
        <v>1.4999999999999999E-2</v>
      </c>
      <c r="D17" s="12">
        <f>D16+$C$12</f>
        <v>1.7500000000000002E-2</v>
      </c>
      <c r="G17" s="38"/>
      <c r="H17" s="32">
        <f>H18+0.001</f>
        <v>-5.0000000000000001E-4</v>
      </c>
      <c r="I17" s="33">
        <f t="dataTable" ref="I17:M21" dt2D="1" dtr="1" r1="C9" r2="C12"/>
        <v>1444284.9999999998</v>
      </c>
      <c r="J17" s="33">
        <v>1310424.9999999998</v>
      </c>
      <c r="K17" s="33">
        <v>1191399.9999999998</v>
      </c>
      <c r="L17" s="33">
        <v>1082034.9999999998</v>
      </c>
      <c r="M17" s="33">
        <v>985894.99999999988</v>
      </c>
    </row>
    <row r="18" spans="2:13" x14ac:dyDescent="0.3">
      <c r="B18" s="12">
        <v>0.05</v>
      </c>
      <c r="C18" s="12">
        <f t="shared" ref="C18:C22" si="6">C17+$C$9</f>
        <v>0.02</v>
      </c>
      <c r="D18" s="12">
        <f t="shared" ref="D18:D22" si="7">D17+$C$12</f>
        <v>1.5000000000000001E-2</v>
      </c>
      <c r="G18" s="38"/>
      <c r="H18" s="32">
        <f>H19+0.001</f>
        <v>-1.5E-3</v>
      </c>
      <c r="I18" s="33">
        <v>1388969.9999999998</v>
      </c>
      <c r="J18" s="33">
        <v>1260974.9999999998</v>
      </c>
      <c r="K18" s="33">
        <v>1144019.9999999998</v>
      </c>
      <c r="L18" s="33">
        <v>1043049.9999999999</v>
      </c>
      <c r="M18" s="33">
        <v>949669.99999999988</v>
      </c>
    </row>
    <row r="19" spans="2:13" x14ac:dyDescent="0.3">
      <c r="B19" s="12">
        <v>7.4999999999999997E-2</v>
      </c>
      <c r="C19" s="12">
        <f t="shared" si="6"/>
        <v>2.5000000000000001E-2</v>
      </c>
      <c r="D19" s="12">
        <f t="shared" si="7"/>
        <v>1.2500000000000001E-2</v>
      </c>
      <c r="G19" s="38"/>
      <c r="H19" s="32">
        <v>-2.5000000000000001E-3</v>
      </c>
      <c r="I19" s="33">
        <v>1335264.9999999998</v>
      </c>
      <c r="J19" s="33">
        <v>1212559.9999999998</v>
      </c>
      <c r="K19" s="33">
        <v>1103194.9999999998</v>
      </c>
      <c r="L19" s="33">
        <v>1004409.9999999999</v>
      </c>
      <c r="M19" s="33">
        <v>916319.99999999988</v>
      </c>
    </row>
    <row r="20" spans="2:13" x14ac:dyDescent="0.3">
      <c r="B20" s="12">
        <v>0.1</v>
      </c>
      <c r="C20" s="12">
        <f t="shared" si="6"/>
        <v>3.0000000000000002E-2</v>
      </c>
      <c r="D20" s="12">
        <f t="shared" si="7"/>
        <v>0.01</v>
      </c>
      <c r="G20" s="38"/>
      <c r="H20" s="32">
        <f>H19-0.001</f>
        <v>-3.5000000000000001E-3</v>
      </c>
      <c r="I20" s="33">
        <v>1284549.9999999998</v>
      </c>
      <c r="J20" s="33">
        <v>1166674.9999999998</v>
      </c>
      <c r="K20" s="33">
        <v>1061794.9999999998</v>
      </c>
      <c r="L20" s="33">
        <v>965769.99999999988</v>
      </c>
      <c r="M20" s="33">
        <v>882394.99999999988</v>
      </c>
    </row>
    <row r="21" spans="2:13" x14ac:dyDescent="0.3">
      <c r="B21" s="12">
        <v>0.125</v>
      </c>
      <c r="C21" s="12">
        <f t="shared" si="6"/>
        <v>3.5000000000000003E-2</v>
      </c>
      <c r="D21" s="12">
        <f t="shared" si="7"/>
        <v>7.4999999999999997E-3</v>
      </c>
      <c r="G21" s="38"/>
      <c r="H21" s="32">
        <f>H20-0.001</f>
        <v>-4.5000000000000005E-3</v>
      </c>
      <c r="I21" s="33">
        <v>1236249.9999999998</v>
      </c>
      <c r="J21" s="33">
        <v>1123894.9999999998</v>
      </c>
      <c r="K21" s="33">
        <v>1022809.9999999999</v>
      </c>
      <c r="L21" s="33">
        <v>932994.99999999988</v>
      </c>
      <c r="M21" s="33">
        <v>850654.99999999988</v>
      </c>
    </row>
    <row r="22" spans="2:13" x14ac:dyDescent="0.3">
      <c r="B22" s="12">
        <v>0.15</v>
      </c>
      <c r="C22" s="12">
        <f t="shared" si="6"/>
        <v>0.04</v>
      </c>
      <c r="D22" s="12">
        <f t="shared" si="7"/>
        <v>4.9999999999999992E-3</v>
      </c>
    </row>
  </sheetData>
  <mergeCells count="2">
    <mergeCell ref="I15:M15"/>
    <mergeCell ref="G16:G21"/>
  </mergeCells>
  <phoneticPr fontId="2" type="noConversion"/>
  <conditionalFormatting sqref="I17:M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Kulkarni</dc:creator>
  <cp:lastModifiedBy>Devendra Kulkarni</cp:lastModifiedBy>
  <dcterms:created xsi:type="dcterms:W3CDTF">2015-06-05T18:17:20Z</dcterms:created>
  <dcterms:modified xsi:type="dcterms:W3CDTF">2026-05-16T19:06:37Z</dcterms:modified>
</cp:coreProperties>
</file>