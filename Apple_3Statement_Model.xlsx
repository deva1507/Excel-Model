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venue" sheetId="3" state="visible" r:id="rId5"/>
    <sheet name="Costs" sheetId="4" state="visible" r:id="rId6"/>
    <sheet name="Depreciation" sheetId="5" state="visible" r:id="rId7"/>
    <sheet name="Working Capital" sheetId="6" state="visible" r:id="rId8"/>
    <sheet name="IS" sheetId="7" state="visible" r:id="rId9"/>
    <sheet name="BS" sheetId="8" state="visible" r:id="rId10"/>
    <sheet name="CF" sheetId="9" state="visible" r:id="rId11"/>
    <sheet name="Checks" sheetId="10" state="visible" r:id="rId12"/>
    <sheet name="Dashboard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<sst xmlns="http://schemas.openxmlformats.org/spreadsheetml/2006/main" count="451" uniqueCount="257">
  <si>
    <t xml:space="preserve">APPLE INC. (AAPL)</t>
  </si>
  <si>
    <t xml:space="preserve">3-Statement Financial Model | Investment Banking Format</t>
  </si>
  <si>
    <t xml:space="preserve">Model Version:</t>
  </si>
  <si>
    <t xml:space="preserve">v1.0</t>
  </si>
  <si>
    <t xml:space="preserve">Last Updated:</t>
  </si>
  <si>
    <t xml:space="preserve">Prepared By:</t>
  </si>
  <si>
    <t xml:space="preserve">Financial Analyst</t>
  </si>
  <si>
    <t xml:space="preserve">Base Currency:</t>
  </si>
  <si>
    <t xml:space="preserve">USD</t>
  </si>
  <si>
    <t xml:space="preserve">Units:</t>
  </si>
  <si>
    <t xml:space="preserve">USD Millions ($M)</t>
  </si>
  <si>
    <t xml:space="preserve">Fiscal Year End:</t>
  </si>
  <si>
    <t xml:space="preserve">September</t>
  </si>
  <si>
    <t xml:space="preserve">Projection Period:</t>
  </si>
  <si>
    <t xml:space="preserve">FY2024A – FY2026E (3 Actuals + 2 Forecast)</t>
  </si>
  <si>
    <t xml:space="preserve">Data Source:</t>
  </si>
  <si>
    <t xml:space="preserve">Apple Inc. SEC 10-K Filings</t>
  </si>
  <si>
    <t xml:space="preserve">📋  MODEL STRUCTURE</t>
  </si>
  <si>
    <t xml:space="preserve">Assumptions</t>
  </si>
  <si>
    <t xml:space="preserve">All revenue/cost/balance sheet drivers — ONLY edit blue cells here</t>
  </si>
  <si>
    <t xml:space="preserve">Revenue</t>
  </si>
  <si>
    <t xml:space="preserve">Revenue build from real Apple product segment data</t>
  </si>
  <si>
    <t xml:space="preserve">Costs</t>
  </si>
  <si>
    <t xml:space="preserve">COGS schedule and operating expense build</t>
  </si>
  <si>
    <t xml:space="preserve">Depreciation</t>
  </si>
  <si>
    <t xml:space="preserve">PP&amp;E roll-forward and D&amp;A schedule</t>
  </si>
  <si>
    <t xml:space="preserve">Working Capital</t>
  </si>
  <si>
    <t xml:space="preserve">AR / Inventory / AP days-based WC schedule</t>
  </si>
  <si>
    <t xml:space="preserve">IS</t>
  </si>
  <si>
    <t xml:space="preserve">Income Statement — fully linked to schedules</t>
  </si>
  <si>
    <t xml:space="preserve">BS</t>
  </si>
  <si>
    <t xml:space="preserve">Balance Sheet — links to IS, CF, WC, and D&amp;A</t>
  </si>
  <si>
    <t xml:space="preserve">CF</t>
  </si>
  <si>
    <t xml:space="preserve">Cash Flow Statement — indirect method, 3-way linked</t>
  </si>
  <si>
    <t xml:space="preserve">Checks</t>
  </si>
  <si>
    <t xml:space="preserve">Error flags — Balance Sheet balance test &amp; CF reconciliation</t>
  </si>
  <si>
    <t xml:space="preserve">Dashboard</t>
  </si>
  <si>
    <t xml:space="preserve">Executive summary KPIs and key metrics</t>
  </si>
  <si>
    <t xml:space="preserve">⚠️  INSTRUCTIONS</t>
  </si>
  <si>
    <t xml:space="preserve">1.  Only edit BLUE cells — these are hardcoded assumptions.</t>
  </si>
  <si>
    <t xml:space="preserve">2.  BLACK cells are formulas — do not overwrite.</t>
  </si>
  <si>
    <t xml:space="preserve">3.  GREEN cells pull data from other sheets — do not edit.</t>
  </si>
  <si>
    <t xml:space="preserve">4.  All figures in USD Millions (e.g., 391,035 = $391B).</t>
  </si>
  <si>
    <t xml:space="preserve">5.  If Balance Sheet does not balance, check the Checks tab first.</t>
  </si>
  <si>
    <t xml:space="preserve">APPLE INC. — MODEL ASSUMPTIONS</t>
  </si>
  <si>
    <t xml:space="preserve">All blue cells are hardcoded inputs. Formulas reference these cells across the model.</t>
  </si>
  <si>
    <t xml:space="preserve">Units</t>
  </si>
  <si>
    <t xml:space="preserve">Notes</t>
  </si>
  <si>
    <t xml:space="preserve">FY2022A</t>
  </si>
  <si>
    <t xml:space="preserve">FY2023A</t>
  </si>
  <si>
    <t xml:space="preserve">FY2024A</t>
  </si>
  <si>
    <t xml:space="preserve">FY2025E</t>
  </si>
  <si>
    <t xml:space="preserve">FY2026E</t>
  </si>
  <si>
    <t xml:space="preserve">A.  REVENUE DRIVERS</t>
  </si>
  <si>
    <t xml:space="preserve">Total Revenue ($M)</t>
  </si>
  <si>
    <t xml:space="preserve">Actual/Projected</t>
  </si>
  <si>
    <t xml:space="preserve">Revenue Growth (YoY %)</t>
  </si>
  <si>
    <t xml:space="preserve">% change</t>
  </si>
  <si>
    <t xml:space="preserve">historical</t>
  </si>
  <si>
    <t xml:space="preserve">Gross Margin %</t>
  </si>
  <si>
    <t xml:space="preserve">% of Revenue</t>
  </si>
  <si>
    <t xml:space="preserve">  → COGS ($M)</t>
  </si>
  <si>
    <t xml:space="preserve">Derived</t>
  </si>
  <si>
    <t xml:space="preserve">B.  OPERATING EXPENSES</t>
  </si>
  <si>
    <t xml:space="preserve">R&amp;D as % of Revenue</t>
  </si>
  <si>
    <t xml:space="preserve">  → R&amp;D Expense ($M)</t>
  </si>
  <si>
    <t xml:space="preserve">SG&amp;A as % of Revenue</t>
  </si>
  <si>
    <t xml:space="preserve">  → SG&amp;A Expense ($M)</t>
  </si>
  <si>
    <t xml:space="preserve">C.  TAX &amp; INTEREST</t>
  </si>
  <si>
    <t xml:space="preserve">Effective Tax Rate</t>
  </si>
  <si>
    <t xml:space="preserve">% of Pre-tax Income</t>
  </si>
  <si>
    <t xml:space="preserve">Interest / Other Income ($M)</t>
  </si>
  <si>
    <t xml:space="preserve">Net</t>
  </si>
  <si>
    <t xml:space="preserve">D.  CAPEX &amp; DEPRECIATION</t>
  </si>
  <si>
    <t xml:space="preserve">CapEx ($M)</t>
  </si>
  <si>
    <t xml:space="preserve">Cash outflow</t>
  </si>
  <si>
    <t xml:space="preserve">Depreciation &amp; Amortisation ($M)</t>
  </si>
  <si>
    <t xml:space="preserve">Non-cash charge</t>
  </si>
  <si>
    <t xml:space="preserve">E.  WORKING CAPITAL DAYS</t>
  </si>
  <si>
    <t xml:space="preserve">Days Sales Outstanding (DSO)</t>
  </si>
  <si>
    <t xml:space="preserve">AR days</t>
  </si>
  <si>
    <t xml:space="preserve">Days Inventory Outstanding (DIO)</t>
  </si>
  <si>
    <t xml:space="preserve">Inventory days</t>
  </si>
  <si>
    <t xml:space="preserve">Days Payable Outstanding (DPO)</t>
  </si>
  <si>
    <t xml:space="preserve">AP days</t>
  </si>
  <si>
    <t xml:space="preserve">F.  DEBT &amp; DIVIDENDS</t>
  </si>
  <si>
    <t xml:space="preserve">Total Debt - Beginning of Year ($M)</t>
  </si>
  <si>
    <t xml:space="preserve">Hardcoded</t>
  </si>
  <si>
    <t xml:space="preserve">Net Debt Issuance / (Repayment) ($M)</t>
  </si>
  <si>
    <t xml:space="preserve">Dividends Paid ($M)</t>
  </si>
  <si>
    <t xml:space="preserve">Share Buybacks ($M)</t>
  </si>
  <si>
    <t xml:space="preserve">APPLE INC. — REVENUE SCHEDULE ($M)</t>
  </si>
  <si>
    <t xml:space="preserve">Revenue Segment</t>
  </si>
  <si>
    <t xml:space="preserve">iPhone</t>
  </si>
  <si>
    <t xml:space="preserve">$M</t>
  </si>
  <si>
    <t xml:space="preserve">Mac</t>
  </si>
  <si>
    <t xml:space="preserve">iPad</t>
  </si>
  <si>
    <t xml:space="preserve">Wearables/Home/Acc</t>
  </si>
  <si>
    <t xml:space="preserve">Services</t>
  </si>
  <si>
    <t xml:space="preserve">Total Revenue</t>
  </si>
  <si>
    <t xml:space="preserve">%</t>
  </si>
  <si>
    <t xml:space="preserve">—</t>
  </si>
  <si>
    <t xml:space="preserve">Revenue Mix %</t>
  </si>
  <si>
    <t xml:space="preserve">  iPhone</t>
  </si>
  <si>
    <t xml:space="preserve">  Mac</t>
  </si>
  <si>
    <t xml:space="preserve">  iPad</t>
  </si>
  <si>
    <t xml:space="preserve">  Wearables/Home/Acc</t>
  </si>
  <si>
    <t xml:space="preserve">  Services</t>
  </si>
  <si>
    <t xml:space="preserve">Source: Apple Inc. 10-K FY2022, FY2023, FY2024 (SEC EDGAR). FY2025E/FY2026E: analyst consensus.</t>
  </si>
  <si>
    <t xml:space="preserve">APPLE INC. — COST SCHEDULE ($M)</t>
  </si>
  <si>
    <t xml:space="preserve">Cost Item</t>
  </si>
  <si>
    <t xml:space="preserve">COST OF REVENUE (COGS)</t>
  </si>
  <si>
    <t xml:space="preserve">COGS ($M)</t>
  </si>
  <si>
    <t xml:space="preserve">OPERATING EXPENSES</t>
  </si>
  <si>
    <t xml:space="preserve">Research &amp; Development ($M)</t>
  </si>
  <si>
    <t xml:space="preserve">Selling, General &amp; Administrative ($M)</t>
  </si>
  <si>
    <t xml:space="preserve">Total OpEx ($M)</t>
  </si>
  <si>
    <t xml:space="preserve">OpEx as % of Revenue</t>
  </si>
  <si>
    <t xml:space="preserve">APPLE INC. — PP&amp;E ROLL-FORWARD &amp; DEPRECIATION ($M)</t>
  </si>
  <si>
    <t xml:space="preserve">PP&amp;E Schedule</t>
  </si>
  <si>
    <t xml:space="preserve">Opening PP&amp;E (Gross, Net), $M</t>
  </si>
  <si>
    <t xml:space="preserve">  Add: Capital Expenditures ($M)</t>
  </si>
  <si>
    <t xml:space="preserve">  Less: Depreciation &amp; Amortisation ($M)</t>
  </si>
  <si>
    <t xml:space="preserve">  Less: Disposals / Other ($M)</t>
  </si>
  <si>
    <t xml:space="preserve">Closing PP&amp;E (Net) $M</t>
  </si>
  <si>
    <t xml:space="preserve">D&amp;A as % of Opening PP&amp;E</t>
  </si>
  <si>
    <t xml:space="preserve">CapEx as % of Revenue</t>
  </si>
  <si>
    <t xml:space="preserve">Formula Logic: Closing PP&amp;E = Opening + CapEx – D&amp;A – Disposals</t>
  </si>
  <si>
    <t xml:space="preserve">APPLE INC. — WORKING CAPITAL SCHEDULE ($M)</t>
  </si>
  <si>
    <t xml:space="preserve">Working Capital Item</t>
  </si>
  <si>
    <t xml:space="preserve">Days</t>
  </si>
  <si>
    <t xml:space="preserve">Accounts Receivable ($M)</t>
  </si>
  <si>
    <t xml:space="preserve">Inventories ($M)</t>
  </si>
  <si>
    <t xml:space="preserve">Accounts Payable ($M)</t>
  </si>
  <si>
    <t xml:space="preserve">Net Working Capital ($M)</t>
  </si>
  <si>
    <t xml:space="preserve">AR+Inv-AP</t>
  </si>
  <si>
    <t xml:space="preserve">Change in Working Capital ($M)</t>
  </si>
  <si>
    <t xml:space="preserve">YoY Δ</t>
  </si>
  <si>
    <t xml:space="preserve">Formula: AR = DSO × Revenue ÷ 365  |  Inventory = DIO × COGS ÷ 365  |  AP = DPO × COGS ÷ 365</t>
  </si>
  <si>
    <t xml:space="preserve">Change in WC = –(Closing NWC – Opening NWC) | Positive = cash inflow (WC decreased)</t>
  </si>
  <si>
    <t xml:space="preserve">APPLE INC. — INCOME STATEMENT ($M)</t>
  </si>
  <si>
    <t xml:space="preserve">Line Item</t>
  </si>
  <si>
    <t xml:space="preserve">  Cost of Revenue (COGS)</t>
  </si>
  <si>
    <t xml:space="preserve">Gross Profit</t>
  </si>
  <si>
    <t xml:space="preserve">Operating Expenses</t>
  </si>
  <si>
    <t xml:space="preserve">  Research &amp; Development</t>
  </si>
  <si>
    <t xml:space="preserve">  Selling, General &amp; Administrative</t>
  </si>
  <si>
    <t xml:space="preserve">Total Operating Expenses</t>
  </si>
  <si>
    <t xml:space="preserve">EBITDA</t>
  </si>
  <si>
    <t xml:space="preserve">EBITDA Margin %</t>
  </si>
  <si>
    <t xml:space="preserve">  Less: Depreciation &amp; Amortisation</t>
  </si>
  <si>
    <t xml:space="preserve">EBIT (Operating Income)</t>
  </si>
  <si>
    <t xml:space="preserve">EBIT Margin %</t>
  </si>
  <si>
    <t xml:space="preserve">  Interest / Other Income (Expense)</t>
  </si>
  <si>
    <t xml:space="preserve">Pre-Tax Income</t>
  </si>
  <si>
    <t xml:space="preserve">  Income Tax Expense</t>
  </si>
  <si>
    <t xml:space="preserve">NET INCOME</t>
  </si>
  <si>
    <t xml:space="preserve">Net Margin %</t>
  </si>
  <si>
    <t xml:space="preserve">Effective Tax Rate (Check)</t>
  </si>
  <si>
    <t xml:space="preserve">APPLE INC. — BALANCE SHEET ($M)</t>
  </si>
  <si>
    <t xml:space="preserve">Balance Sheet Item</t>
  </si>
  <si>
    <t xml:space="preserve">ASSETS</t>
  </si>
  <si>
    <t xml:space="preserve">Current Assets</t>
  </si>
  <si>
    <t xml:space="preserve">  Cash &amp; Cash Equivalents</t>
  </si>
  <si>
    <t xml:space="preserve">  Accounts Receivable</t>
  </si>
  <si>
    <t xml:space="preserve">  Inventories</t>
  </si>
  <si>
    <t xml:space="preserve">  Marketable Securities (ST)</t>
  </si>
  <si>
    <t xml:space="preserve">  Other Current Assets</t>
  </si>
  <si>
    <t xml:space="preserve">Total Current Assets</t>
  </si>
  <si>
    <t xml:space="preserve">Non-Current Assets</t>
  </si>
  <si>
    <t xml:space="preserve">  PP&amp;E, Net</t>
  </si>
  <si>
    <t xml:space="preserve">  Marketable Securities (LT)</t>
  </si>
  <si>
    <t xml:space="preserve">  Other Non-Current Assets</t>
  </si>
  <si>
    <t xml:space="preserve">Total Non-Current Assets</t>
  </si>
  <si>
    <t xml:space="preserve">TOTAL ASSETS</t>
  </si>
  <si>
    <t xml:space="preserve">LIABILITIES &amp; EQUITY</t>
  </si>
  <si>
    <t xml:space="preserve">Current Liabilities</t>
  </si>
  <si>
    <t xml:space="preserve">  Accounts Payable</t>
  </si>
  <si>
    <t xml:space="preserve">  Short-Term Debt / Commercial Paper</t>
  </si>
  <si>
    <t xml:space="preserve">  Deferred Revenue (ST)</t>
  </si>
  <si>
    <t xml:space="preserve">  Other Current Liabilities</t>
  </si>
  <si>
    <t xml:space="preserve">Total Current Liabilities</t>
  </si>
  <si>
    <t xml:space="preserve">Non-Current Liabilities</t>
  </si>
  <si>
    <t xml:space="preserve">  Long-Term Debt</t>
  </si>
  <si>
    <t xml:space="preserve">  Other Non-Current Liabilities</t>
  </si>
  <si>
    <t xml:space="preserve">Total Non-Current Liabilities</t>
  </si>
  <si>
    <t xml:space="preserve">Total Liabilities</t>
  </si>
  <si>
    <t xml:space="preserve">Shareholders' Equity</t>
  </si>
  <si>
    <t xml:space="preserve">  Common Stock &amp; APIC</t>
  </si>
  <si>
    <t xml:space="preserve">  Retained Earnings (Deficit)</t>
  </si>
  <si>
    <t xml:space="preserve">  Accumulated OCI</t>
  </si>
  <si>
    <t xml:space="preserve">Total Shareholders' Equity</t>
  </si>
  <si>
    <t xml:space="preserve">TOTAL LIABILITIES + EQUITY</t>
  </si>
  <si>
    <t xml:space="preserve">✅  BS CHECK (Assets – Liabilities – Equity = 0)</t>
  </si>
  <si>
    <t xml:space="preserve">Must=0</t>
  </si>
  <si>
    <t xml:space="preserve">APPLE INC. — CASH FLOW STATEMENT ($M) — INDIRECT METHOD</t>
  </si>
  <si>
    <t xml:space="preserve">Cash Flow Item</t>
  </si>
  <si>
    <t xml:space="preserve">OPERATING ACTIVITIES</t>
  </si>
  <si>
    <t xml:space="preserve">  Net Income</t>
  </si>
  <si>
    <t xml:space="preserve">  Add: Depreciation &amp; Amortisation</t>
  </si>
  <si>
    <t xml:space="preserve">  Change in Working Capital</t>
  </si>
  <si>
    <t xml:space="preserve">  Other Operating Adjustments</t>
  </si>
  <si>
    <t xml:space="preserve">Cash From Operating Activities</t>
  </si>
  <si>
    <t xml:space="preserve">INVESTING ACTIVITIES</t>
  </si>
  <si>
    <t xml:space="preserve">  Capital Expenditures (CapEx)</t>
  </si>
  <si>
    <t xml:space="preserve">  Acquisitions &amp; Other Investing</t>
  </si>
  <si>
    <t xml:space="preserve">Cash From Investing Activities</t>
  </si>
  <si>
    <t xml:space="preserve">FINANCING ACTIVITIES</t>
  </si>
  <si>
    <t xml:space="preserve">  Net Debt Issuance / (Repayment)</t>
  </si>
  <si>
    <t xml:space="preserve">  Dividends Paid</t>
  </si>
  <si>
    <t xml:space="preserve">  Share Buybacks</t>
  </si>
  <si>
    <t xml:space="preserve">Cash From Financing Activities</t>
  </si>
  <si>
    <t xml:space="preserve">  FX / Other Impact on Cash</t>
  </si>
  <si>
    <t xml:space="preserve">Beginning Cash Balance</t>
  </si>
  <si>
    <t xml:space="preserve">Net Change in Cash</t>
  </si>
  <si>
    <t xml:space="preserve">Ending Cash Balance</t>
  </si>
  <si>
    <t xml:space="preserve">Free Cash Flow (OCF – CapEx)</t>
  </si>
  <si>
    <t xml:space="preserve">FCF Margin %</t>
  </si>
  <si>
    <t xml:space="preserve">MODEL INTEGRITY CHECKS &amp; ERROR FLAGS</t>
  </si>
  <si>
    <t xml:space="preserve">Check</t>
  </si>
  <si>
    <t xml:space="preserve">Result</t>
  </si>
  <si>
    <t xml:space="preserve">If any cell below shows ERROR — your model has a problem. All checks must show ✅ OK</t>
  </si>
  <si>
    <t xml:space="preserve">1.  BALANCE SHEET CHECK (Assets = Liabilities + Equity)</t>
  </si>
  <si>
    <t xml:space="preserve">Total Assets ($M)</t>
  </si>
  <si>
    <t xml:space="preserve">Total Liabilities + Equity ($M)</t>
  </si>
  <si>
    <t xml:space="preserve">Difference (Must = 0)</t>
  </si>
  <si>
    <t xml:space="preserve">⚡  Balance Sheet Status</t>
  </si>
  <si>
    <t xml:space="preserve">Flag</t>
  </si>
  <si>
    <t xml:space="preserve">2.  CASH FLOW RECONCILIATION CHECK</t>
  </si>
  <si>
    <t xml:space="preserve">Ending Cash per Cash Flow Statement</t>
  </si>
  <si>
    <t xml:space="preserve">Cash per Balance Sheet</t>
  </si>
  <si>
    <t xml:space="preserve">⚡  Cash Reconciliation Status</t>
  </si>
  <si>
    <t xml:space="preserve">3.  PROFITABILITY SANITY CHECKS</t>
  </si>
  <si>
    <t xml:space="preserve">Gross Margin % (expect 43–49%)</t>
  </si>
  <si>
    <t xml:space="preserve">EBITDA Margin % (expect 32–36%)</t>
  </si>
  <si>
    <t xml:space="preserve">Net Margin % (expect 22–28%)</t>
  </si>
  <si>
    <t xml:space="preserve">FCF Margin % (expect 23–30%)</t>
  </si>
  <si>
    <t xml:space="preserve">4.  OVERALL MODEL STATUS</t>
  </si>
  <si>
    <t xml:space="preserve">⚡  ALL CHECKS PASSED?</t>
  </si>
  <si>
    <t xml:space="preserve">Summary</t>
  </si>
  <si>
    <t xml:space="preserve">APPLE INC. (AAPL) — EXECUTIVE SUMMARY DASHBOARD</t>
  </si>
  <si>
    <t xml:space="preserve">Figures in USD Millions ($M) | FY ends September | Source: Apple 10-K + Analyst Estimates</t>
  </si>
  <si>
    <t xml:space="preserve">KPI</t>
  </si>
  <si>
    <t xml:space="preserve">── INCOME STATEMENT ──</t>
  </si>
  <si>
    <t xml:space="preserve">Revenue Growth %</t>
  </si>
  <si>
    <t xml:space="preserve">EBIT</t>
  </si>
  <si>
    <t xml:space="preserve">Net Income</t>
  </si>
  <si>
    <t xml:space="preserve">── CASH FLOW ──</t>
  </si>
  <si>
    <t xml:space="preserve">Operating Cash Flow</t>
  </si>
  <si>
    <t xml:space="preserve">Capital Expenditures</t>
  </si>
  <si>
    <t xml:space="preserve">Free Cash Flow</t>
  </si>
  <si>
    <t xml:space="preserve">── BALANCE SHEET ──</t>
  </si>
  <si>
    <t xml:space="preserve">Cash &amp; Equivalents</t>
  </si>
  <si>
    <t xml:space="preserve">Total Assets</t>
  </si>
  <si>
    <t xml:space="preserve">Total Debt</t>
  </si>
  <si>
    <t xml:space="preserve">Total Equity</t>
  </si>
  <si>
    <t xml:space="preserve">Note: FY2025E and FY2026E are projections based on analyst consensus and trend extrapolation. Not financial advice.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</si>
</sst>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;\(#,##0\);\-"/>
    <numFmt numFmtId="167" formatCode="0.0%;\(0.0%\);\-"/>
    <numFmt numFmtId="168" formatCode="#,##0.0"/>
    <numFmt numFmtId="169" formatCode="0.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FF0000"/>
      </patternFill>
    </fill>
    <fill>
      <patternFill patternType="solid">
        <fgColor rgb="FF375623"/>
        <bgColor rgb="FF595959"/>
      </patternFill>
    </fill>
    <fill>
      <patternFill patternType="solid">
        <fgColor rgb="FFD6E4F0"/>
        <bgColor rgb="FFD5E8D4"/>
      </patternFill>
    </fill>
    <fill>
      <patternFill patternType="solid">
        <fgColor rgb="FFD5E8D4"/>
        <bgColor rgb="FFD6E4F0"/>
      </patternFill>
    </fill>
    <fill>
      <patternFill patternType="solid">
        <fgColor rgb="FFF2F2F2"/>
        <bgColor rgb="FFFFFFFF"/>
      </patternFill>
    </fill>
    <fill>
      <patternFill patternType="solid">
        <fgColor rgb="FFFFE699"/>
        <bgColor rgb="FFFFCC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5"/>
  </cols>
  <sheetData>
    <row r="1" customFormat="false" ht="60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3"/>
    </row>
    <row r="4" customFormat="false" ht="15.75" hidden="false" customHeight="true" outlineLevel="0" collapsed="false">
      <c r="A4" s="4" t="s">
        <v>2</v>
      </c>
      <c r="B4" s="5" t="s">
        <v>3</v>
      </c>
    </row>
    <row r="5" customFormat="false" ht="15.75" hidden="false" customHeight="true" outlineLevel="0" collapsed="false">
      <c r="A5" s="4" t="s">
        <v>4</v>
      </c>
      <c r="B5" s="6" t="n">
        <f aca="true">TODAY()</f>
        <v>46095</v>
      </c>
    </row>
    <row r="6" customFormat="false" ht="15.75" hidden="false" customHeight="true" outlineLevel="0" collapsed="false">
      <c r="A6" s="4" t="s">
        <v>5</v>
      </c>
      <c r="B6" s="5" t="s">
        <v>6</v>
      </c>
    </row>
    <row r="7" customFormat="false" ht="15.75" hidden="false" customHeight="true" outlineLevel="0" collapsed="false">
      <c r="A7" s="4" t="s">
        <v>7</v>
      </c>
      <c r="B7" s="5" t="s">
        <v>8</v>
      </c>
    </row>
    <row r="8" customFormat="false" ht="15.75" hidden="false" customHeight="true" outlineLevel="0" collapsed="false">
      <c r="A8" s="4" t="s">
        <v>9</v>
      </c>
      <c r="B8" s="5" t="s">
        <v>10</v>
      </c>
    </row>
    <row r="9" customFormat="false" ht="15.75" hidden="false" customHeight="true" outlineLevel="0" collapsed="false">
      <c r="A9" s="4" t="s">
        <v>11</v>
      </c>
      <c r="B9" s="5" t="s">
        <v>12</v>
      </c>
    </row>
    <row r="10" customFormat="false" ht="15.75" hidden="false" customHeight="true" outlineLevel="0" collapsed="false">
      <c r="A10" s="4" t="s">
        <v>13</v>
      </c>
      <c r="B10" s="5" t="s">
        <v>14</v>
      </c>
    </row>
    <row r="11" customFormat="false" ht="15.75" hidden="false" customHeight="true" outlineLevel="0" collapsed="false">
      <c r="A11" s="4" t="s">
        <v>15</v>
      </c>
      <c r="B11" s="5" t="s">
        <v>16</v>
      </c>
    </row>
    <row r="13" customFormat="false" ht="15" hidden="false" customHeight="true" outlineLevel="0" collapsed="false">
      <c r="A13" s="7" t="s">
        <v>17</v>
      </c>
      <c r="B13" s="7"/>
    </row>
    <row r="14" customFormat="false" ht="15" hidden="false" customHeight="true" outlineLevel="0" collapsed="false">
      <c r="A14" s="8" t="s">
        <v>18</v>
      </c>
      <c r="B14" s="9" t="s">
        <v>19</v>
      </c>
    </row>
    <row r="15" customFormat="false" ht="15" hidden="false" customHeight="true" outlineLevel="0" collapsed="false">
      <c r="A15" s="8" t="s">
        <v>20</v>
      </c>
      <c r="B15" s="9" t="s">
        <v>21</v>
      </c>
    </row>
    <row r="16" customFormat="false" ht="15" hidden="false" customHeight="true" outlineLevel="0" collapsed="false">
      <c r="A16" s="8" t="s">
        <v>22</v>
      </c>
      <c r="B16" s="9" t="s">
        <v>23</v>
      </c>
    </row>
    <row r="17" customFormat="false" ht="15" hidden="false" customHeight="true" outlineLevel="0" collapsed="false">
      <c r="A17" s="8" t="s">
        <v>24</v>
      </c>
      <c r="B17" s="9" t="s">
        <v>25</v>
      </c>
    </row>
    <row r="18" customFormat="false" ht="15" hidden="false" customHeight="true" outlineLevel="0" collapsed="false">
      <c r="A18" s="8" t="s">
        <v>26</v>
      </c>
      <c r="B18" s="9" t="s">
        <v>27</v>
      </c>
    </row>
    <row r="19" customFormat="false" ht="15" hidden="false" customHeight="true" outlineLevel="0" collapsed="false">
      <c r="A19" s="8" t="s">
        <v>28</v>
      </c>
      <c r="B19" s="9" t="s">
        <v>29</v>
      </c>
    </row>
    <row r="20" customFormat="false" ht="15" hidden="false" customHeight="true" outlineLevel="0" collapsed="false">
      <c r="A20" s="8" t="s">
        <v>30</v>
      </c>
      <c r="B20" s="9" t="s">
        <v>31</v>
      </c>
    </row>
    <row r="21" customFormat="false" ht="15" hidden="false" customHeight="true" outlineLevel="0" collapsed="false">
      <c r="A21" s="8" t="s">
        <v>32</v>
      </c>
      <c r="B21" s="9" t="s">
        <v>33</v>
      </c>
    </row>
    <row r="22" customFormat="false" ht="15" hidden="false" customHeight="true" outlineLevel="0" collapsed="false">
      <c r="A22" s="8" t="s">
        <v>34</v>
      </c>
      <c r="B22" s="9" t="s">
        <v>35</v>
      </c>
    </row>
    <row r="23" customFormat="false" ht="15" hidden="false" customHeight="true" outlineLevel="0" collapsed="false">
      <c r="A23" s="8" t="s">
        <v>36</v>
      </c>
      <c r="B23" s="9" t="s">
        <v>37</v>
      </c>
    </row>
    <row r="25" customFormat="false" ht="15" hidden="false" customHeight="true" outlineLevel="0" collapsed="false">
      <c r="A25" s="10" t="s">
        <v>38</v>
      </c>
      <c r="B25" s="10"/>
    </row>
    <row r="26" customFormat="false" ht="15" hidden="false" customHeight="true" outlineLevel="0" collapsed="false">
      <c r="A26" s="11" t="s">
        <v>39</v>
      </c>
      <c r="B26" s="11"/>
    </row>
    <row r="27" customFormat="false" ht="15" hidden="false" customHeight="true" outlineLevel="0" collapsed="false">
      <c r="A27" s="11" t="s">
        <v>40</v>
      </c>
      <c r="B27" s="11"/>
    </row>
    <row r="28" customFormat="false" ht="15" hidden="false" customHeight="true" outlineLevel="0" collapsed="false">
      <c r="A28" s="11" t="s">
        <v>41</v>
      </c>
      <c r="B28" s="11"/>
    </row>
    <row r="29" customFormat="false" ht="15" hidden="false" customHeight="true" outlineLevel="0" collapsed="false">
      <c r="A29" s="11" t="s">
        <v>42</v>
      </c>
      <c r="B29" s="11"/>
    </row>
    <row r="30" customFormat="false" ht="15" hidden="false" customHeight="true" outlineLevel="0" collapsed="false">
      <c r="A30" s="11" t="s">
        <v>43</v>
      </c>
      <c r="B30" s="11"/>
    </row>
  </sheetData>
  <mergeCells count="9">
    <mergeCell ref="A1:B1"/>
    <mergeCell ref="A2:B2"/>
    <mergeCell ref="A13:B13"/>
    <mergeCell ref="A25:B25"/>
    <mergeCell ref="A26:B26"/>
    <mergeCell ref="A27:B27"/>
    <mergeCell ref="A28:B28"/>
    <mergeCell ref="A29:B29"/>
    <mergeCell ref="A30:B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  <col collapsed="false" customWidth="true" hidden="false" outlineLevel="0" max="7" min="3" style="1" width="13"/>
  </cols>
  <sheetData>
    <row r="1" customFormat="false" ht="24.75" hidden="false" customHeight="true" outlineLevel="0" collapsed="false">
      <c r="A1" s="12" t="s">
        <v>44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14" t="s">
        <v>45</v>
      </c>
      <c r="B2" s="14"/>
      <c r="C2" s="14"/>
      <c r="D2" s="14"/>
      <c r="E2" s="14"/>
      <c r="F2" s="14"/>
      <c r="G2" s="14"/>
    </row>
    <row r="3" customFormat="false" ht="15" hidden="false" customHeight="true" outlineLevel="0" collapsed="false">
      <c r="A3" s="15" t="s">
        <v>46</v>
      </c>
      <c r="B3" s="13" t="s">
        <v>47</v>
      </c>
      <c r="C3" s="16" t="s">
        <v>48</v>
      </c>
      <c r="D3" s="16" t="s">
        <v>49</v>
      </c>
      <c r="E3" s="16" t="s">
        <v>50</v>
      </c>
      <c r="F3" s="16" t="s">
        <v>51</v>
      </c>
      <c r="G3" s="16" t="s">
        <v>52</v>
      </c>
    </row>
    <row r="4" customFormat="false" ht="18" hidden="false" customHeight="true" outlineLevel="0" collapsed="false">
      <c r="A4" s="17" t="s">
        <v>53</v>
      </c>
      <c r="B4" s="18"/>
      <c r="C4" s="18"/>
      <c r="D4" s="18"/>
      <c r="E4" s="18"/>
      <c r="F4" s="18"/>
      <c r="G4" s="18"/>
    </row>
    <row r="5" customFormat="false" ht="15" hidden="false" customHeight="true" outlineLevel="0" collapsed="false">
      <c r="A5" s="19" t="s">
        <v>54</v>
      </c>
      <c r="B5" s="20" t="s">
        <v>55</v>
      </c>
      <c r="C5" s="21" t="n">
        <v>394328</v>
      </c>
      <c r="D5" s="21" t="n">
        <v>383285</v>
      </c>
      <c r="E5" s="21" t="n">
        <v>391035</v>
      </c>
      <c r="F5" s="22" t="n">
        <f aca="false">E5*(1+F6)</f>
        <v>416061.24</v>
      </c>
      <c r="G5" s="22" t="n">
        <f aca="false">F5*(1+G6)</f>
        <v>445185.5268</v>
      </c>
    </row>
    <row r="6" customFormat="false" ht="15" hidden="false" customHeight="true" outlineLevel="0" collapsed="false">
      <c r="A6" s="23" t="s">
        <v>56</v>
      </c>
      <c r="B6" s="20" t="s">
        <v>57</v>
      </c>
      <c r="C6" s="24" t="s">
        <v>58</v>
      </c>
      <c r="D6" s="25" t="n">
        <v>-0.028</v>
      </c>
      <c r="E6" s="25" t="n">
        <v>0.0202</v>
      </c>
      <c r="F6" s="25" t="n">
        <v>0.064</v>
      </c>
      <c r="G6" s="25" t="n">
        <v>0.07</v>
      </c>
    </row>
    <row r="7" customFormat="false" ht="15" hidden="false" customHeight="true" outlineLevel="0" collapsed="false">
      <c r="A7" s="23" t="s">
        <v>59</v>
      </c>
      <c r="B7" s="20" t="s">
        <v>60</v>
      </c>
      <c r="C7" s="25" t="n">
        <v>0.4331</v>
      </c>
      <c r="D7" s="25" t="n">
        <v>0.4413</v>
      </c>
      <c r="E7" s="25" t="n">
        <v>0.4621</v>
      </c>
      <c r="F7" s="25" t="n">
        <v>0.4691</v>
      </c>
      <c r="G7" s="25" t="n">
        <v>0.475</v>
      </c>
    </row>
    <row r="8" customFormat="false" ht="15" hidden="false" customHeight="true" outlineLevel="0" collapsed="false">
      <c r="A8" s="23" t="s">
        <v>61</v>
      </c>
      <c r="B8" s="20" t="s">
        <v>62</v>
      </c>
      <c r="C8" s="26" t="n">
        <f aca="false">C5*(1-C7)</f>
        <v>223544.5432</v>
      </c>
      <c r="D8" s="26" t="n">
        <f aca="false">D5*(1-D7)</f>
        <v>214141.3295</v>
      </c>
      <c r="E8" s="26" t="n">
        <f aca="false">E5*(1-E7)</f>
        <v>210337.7265</v>
      </c>
      <c r="F8" s="26" t="n">
        <f aca="false">F5*(1-F7)</f>
        <v>220886.912316</v>
      </c>
      <c r="G8" s="26" t="n">
        <f aca="false">G5*(1-G7)</f>
        <v>233722.40157</v>
      </c>
    </row>
    <row r="9" customFormat="false" ht="18" hidden="false" customHeight="true" outlineLevel="0" collapsed="false">
      <c r="A9" s="17" t="s">
        <v>63</v>
      </c>
      <c r="B9" s="18"/>
      <c r="C9" s="18"/>
      <c r="D9" s="18"/>
      <c r="E9" s="18"/>
      <c r="F9" s="18"/>
      <c r="G9" s="18"/>
    </row>
    <row r="10" customFormat="false" ht="15" hidden="false" customHeight="true" outlineLevel="0" collapsed="false">
      <c r="A10" s="23" t="s">
        <v>64</v>
      </c>
      <c r="B10" s="20" t="s">
        <v>60</v>
      </c>
      <c r="C10" s="25" t="n">
        <v>0.0666</v>
      </c>
      <c r="D10" s="25" t="n">
        <v>0.0781</v>
      </c>
      <c r="E10" s="25" t="n">
        <v>0.0802</v>
      </c>
      <c r="F10" s="25" t="n">
        <v>0.083</v>
      </c>
      <c r="G10" s="25" t="n">
        <v>0.083</v>
      </c>
    </row>
    <row r="11" customFormat="false" ht="15" hidden="false" customHeight="true" outlineLevel="0" collapsed="false">
      <c r="A11" s="23" t="s">
        <v>65</v>
      </c>
      <c r="B11" s="20" t="s">
        <v>62</v>
      </c>
      <c r="C11" s="26" t="n">
        <f aca="false">C5*C10</f>
        <v>26262.2448</v>
      </c>
      <c r="D11" s="26" t="n">
        <f aca="false">D5*D10</f>
        <v>29934.5585</v>
      </c>
      <c r="E11" s="26" t="n">
        <f aca="false">E5*E10</f>
        <v>31361.007</v>
      </c>
      <c r="F11" s="26" t="n">
        <f aca="false">F5*F10</f>
        <v>34533.08292</v>
      </c>
      <c r="G11" s="26" t="n">
        <f aca="false">G5*G10</f>
        <v>36950.3987244</v>
      </c>
    </row>
    <row r="12" customFormat="false" ht="15" hidden="false" customHeight="true" outlineLevel="0" collapsed="false">
      <c r="A12" s="23" t="s">
        <v>66</v>
      </c>
      <c r="B12" s="20" t="s">
        <v>60</v>
      </c>
      <c r="C12" s="25" t="n">
        <v>0.0636</v>
      </c>
      <c r="D12" s="25" t="n">
        <v>0.065</v>
      </c>
      <c r="E12" s="25" t="n">
        <v>0.0668</v>
      </c>
      <c r="F12" s="25" t="n">
        <v>0.066</v>
      </c>
      <c r="G12" s="25" t="n">
        <v>0.065</v>
      </c>
    </row>
    <row r="13" customFormat="false" ht="15" hidden="false" customHeight="true" outlineLevel="0" collapsed="false">
      <c r="A13" s="23" t="s">
        <v>67</v>
      </c>
      <c r="B13" s="20" t="s">
        <v>62</v>
      </c>
      <c r="C13" s="26" t="n">
        <f aca="false">C5*C12</f>
        <v>25079.2608</v>
      </c>
      <c r="D13" s="26" t="n">
        <f aca="false">D5*D12</f>
        <v>24913.525</v>
      </c>
      <c r="E13" s="26" t="n">
        <f aca="false">E5*E12</f>
        <v>26121.138</v>
      </c>
      <c r="F13" s="26" t="n">
        <f aca="false">F5*F12</f>
        <v>27460.04184</v>
      </c>
      <c r="G13" s="26" t="n">
        <f aca="false">G5*G12</f>
        <v>28937.059242</v>
      </c>
    </row>
    <row r="14" customFormat="false" ht="18" hidden="false" customHeight="true" outlineLevel="0" collapsed="false">
      <c r="A14" s="17" t="s">
        <v>68</v>
      </c>
      <c r="B14" s="18"/>
      <c r="C14" s="18"/>
      <c r="D14" s="18"/>
      <c r="E14" s="18"/>
      <c r="F14" s="18"/>
      <c r="G14" s="18"/>
    </row>
    <row r="15" customFormat="false" ht="15" hidden="false" customHeight="true" outlineLevel="0" collapsed="false">
      <c r="A15" s="23" t="s">
        <v>69</v>
      </c>
      <c r="B15" s="20" t="s">
        <v>70</v>
      </c>
      <c r="C15" s="25" t="n">
        <v>0.162</v>
      </c>
      <c r="D15" s="25" t="n">
        <v>0.147</v>
      </c>
      <c r="E15" s="25" t="n">
        <v>0.241</v>
      </c>
      <c r="F15" s="25" t="n">
        <v>0.16</v>
      </c>
      <c r="G15" s="25" t="n">
        <v>0.16</v>
      </c>
    </row>
    <row r="16" customFormat="false" ht="15" hidden="false" customHeight="true" outlineLevel="0" collapsed="false">
      <c r="A16" s="23" t="s">
        <v>71</v>
      </c>
      <c r="B16" s="20" t="s">
        <v>72</v>
      </c>
      <c r="C16" s="21" t="n">
        <v>-334</v>
      </c>
      <c r="D16" s="21" t="n">
        <v>-565</v>
      </c>
      <c r="E16" s="21" t="n">
        <v>269</v>
      </c>
      <c r="F16" s="21" t="n">
        <v>-300</v>
      </c>
      <c r="G16" s="21" t="n">
        <v>-250</v>
      </c>
    </row>
    <row r="17" customFormat="false" ht="18" hidden="false" customHeight="true" outlineLevel="0" collapsed="false">
      <c r="A17" s="17" t="s">
        <v>73</v>
      </c>
      <c r="B17" s="18"/>
      <c r="C17" s="18"/>
      <c r="D17" s="18"/>
      <c r="E17" s="18"/>
      <c r="F17" s="18"/>
      <c r="G17" s="18"/>
    </row>
    <row r="18" customFormat="false" ht="15" hidden="false" customHeight="true" outlineLevel="0" collapsed="false">
      <c r="A18" s="23" t="s">
        <v>74</v>
      </c>
      <c r="B18" s="20" t="s">
        <v>75</v>
      </c>
      <c r="C18" s="21" t="n">
        <v>10708</v>
      </c>
      <c r="D18" s="21" t="n">
        <v>10959</v>
      </c>
      <c r="E18" s="21" t="n">
        <v>9447</v>
      </c>
      <c r="F18" s="21" t="n">
        <v>9776</v>
      </c>
      <c r="G18" s="21" t="n">
        <v>10075</v>
      </c>
    </row>
    <row r="19" customFormat="false" ht="15" hidden="false" customHeight="true" outlineLevel="0" collapsed="false">
      <c r="A19" s="23" t="s">
        <v>76</v>
      </c>
      <c r="B19" s="20" t="s">
        <v>77</v>
      </c>
      <c r="C19" s="21" t="n">
        <v>11104</v>
      </c>
      <c r="D19" s="21" t="n">
        <v>11519</v>
      </c>
      <c r="E19" s="21" t="n">
        <v>11445</v>
      </c>
      <c r="F19" s="21" t="n">
        <v>11700</v>
      </c>
      <c r="G19" s="21" t="n">
        <v>12000</v>
      </c>
    </row>
    <row r="20" customFormat="false" ht="18" hidden="false" customHeight="true" outlineLevel="0" collapsed="false">
      <c r="A20" s="17" t="s">
        <v>78</v>
      </c>
      <c r="B20" s="18"/>
      <c r="C20" s="18"/>
      <c r="D20" s="18"/>
      <c r="E20" s="18"/>
      <c r="F20" s="18"/>
      <c r="G20" s="18"/>
    </row>
    <row r="21" customFormat="false" ht="15" hidden="false" customHeight="true" outlineLevel="0" collapsed="false">
      <c r="A21" s="23" t="s">
        <v>79</v>
      </c>
      <c r="B21" s="20" t="s">
        <v>80</v>
      </c>
      <c r="C21" s="27" t="n">
        <v>26</v>
      </c>
      <c r="D21" s="27" t="n">
        <v>28</v>
      </c>
      <c r="E21" s="27" t="n">
        <v>31</v>
      </c>
      <c r="F21" s="27" t="n">
        <v>31</v>
      </c>
      <c r="G21" s="27" t="n">
        <v>31</v>
      </c>
    </row>
    <row r="22" customFormat="false" ht="15" hidden="false" customHeight="true" outlineLevel="0" collapsed="false">
      <c r="A22" s="23" t="s">
        <v>81</v>
      </c>
      <c r="B22" s="20" t="s">
        <v>82</v>
      </c>
      <c r="C22" s="27" t="n">
        <v>8</v>
      </c>
      <c r="D22" s="27" t="n">
        <v>11</v>
      </c>
      <c r="E22" s="27" t="n">
        <v>13</v>
      </c>
      <c r="F22" s="27" t="n">
        <v>13</v>
      </c>
      <c r="G22" s="27" t="n">
        <v>12</v>
      </c>
    </row>
    <row r="23" customFormat="false" ht="15" hidden="false" customHeight="true" outlineLevel="0" collapsed="false">
      <c r="A23" s="23" t="s">
        <v>83</v>
      </c>
      <c r="B23" s="20" t="s">
        <v>84</v>
      </c>
      <c r="C23" s="27" t="n">
        <v>105</v>
      </c>
      <c r="D23" s="27" t="n">
        <v>107</v>
      </c>
      <c r="E23" s="27" t="n">
        <v>120</v>
      </c>
      <c r="F23" s="27" t="n">
        <v>118</v>
      </c>
      <c r="G23" s="27" t="n">
        <v>115</v>
      </c>
    </row>
    <row r="24" customFormat="false" ht="18" hidden="false" customHeight="true" outlineLevel="0" collapsed="false">
      <c r="A24" s="17" t="s">
        <v>85</v>
      </c>
      <c r="B24" s="18"/>
      <c r="C24" s="18"/>
      <c r="D24" s="18"/>
      <c r="E24" s="18"/>
      <c r="F24" s="18"/>
      <c r="G24" s="18"/>
    </row>
    <row r="25" customFormat="false" ht="15" hidden="false" customHeight="true" outlineLevel="0" collapsed="false">
      <c r="A25" s="23" t="s">
        <v>86</v>
      </c>
      <c r="B25" s="20" t="s">
        <v>87</v>
      </c>
      <c r="C25" s="21" t="n">
        <v>120069</v>
      </c>
      <c r="D25" s="21" t="n">
        <v>120069</v>
      </c>
      <c r="E25" s="21" t="n">
        <v>111088</v>
      </c>
      <c r="F25" s="21" t="n">
        <v>106629</v>
      </c>
      <c r="G25" s="21" t="n">
        <v>103629</v>
      </c>
    </row>
    <row r="26" customFormat="false" ht="15" hidden="false" customHeight="true" outlineLevel="0" collapsed="false">
      <c r="A26" s="23" t="s">
        <v>88</v>
      </c>
      <c r="B26" s="20" t="s">
        <v>72</v>
      </c>
      <c r="C26" s="21" t="n">
        <v>150</v>
      </c>
      <c r="D26" s="21" t="n">
        <v>-5923</v>
      </c>
      <c r="E26" s="21" t="n">
        <v>318</v>
      </c>
      <c r="F26" s="21" t="n">
        <v>-3000</v>
      </c>
      <c r="G26" s="21" t="n">
        <v>-3000</v>
      </c>
    </row>
    <row r="27" customFormat="false" ht="15" hidden="false" customHeight="true" outlineLevel="0" collapsed="false">
      <c r="A27" s="23" t="s">
        <v>89</v>
      </c>
      <c r="B27" s="20" t="s">
        <v>75</v>
      </c>
      <c r="C27" s="21" t="n">
        <v>14841</v>
      </c>
      <c r="D27" s="21" t="n">
        <v>15025</v>
      </c>
      <c r="E27" s="21" t="n">
        <v>15234</v>
      </c>
      <c r="F27" s="21" t="n">
        <v>15500</v>
      </c>
      <c r="G27" s="21" t="n">
        <v>15800</v>
      </c>
    </row>
    <row r="28" customFormat="false" ht="15" hidden="false" customHeight="true" outlineLevel="0" collapsed="false">
      <c r="A28" s="23" t="s">
        <v>90</v>
      </c>
      <c r="B28" s="20" t="s">
        <v>75</v>
      </c>
      <c r="C28" s="21" t="n">
        <v>89402</v>
      </c>
      <c r="D28" s="21" t="n">
        <v>77550</v>
      </c>
      <c r="E28" s="21" t="n">
        <v>94949</v>
      </c>
      <c r="F28" s="21" t="n">
        <v>85000</v>
      </c>
      <c r="G28" s="21" t="n">
        <v>80000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  <col collapsed="false" customWidth="true" hidden="false" outlineLevel="0" max="7" min="3" style="1" width="14"/>
  </cols>
  <sheetData>
    <row r="1" customFormat="false" ht="24.75" hidden="false" customHeight="true" outlineLevel="0" collapsed="false">
      <c r="A1" s="28" t="s">
        <v>91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15" t="s">
        <v>92</v>
      </c>
      <c r="B2" s="29" t="s">
        <v>46</v>
      </c>
      <c r="C2" s="16" t="s">
        <v>48</v>
      </c>
      <c r="D2" s="16" t="s">
        <v>49</v>
      </c>
      <c r="E2" s="16" t="s">
        <v>50</v>
      </c>
      <c r="F2" s="16" t="s">
        <v>51</v>
      </c>
      <c r="G2" s="16" t="s">
        <v>52</v>
      </c>
    </row>
    <row r="3" customFormat="false" ht="15" hidden="false" customHeight="true" outlineLevel="0" collapsed="false">
      <c r="A3" s="23" t="s">
        <v>93</v>
      </c>
      <c r="B3" s="20" t="s">
        <v>94</v>
      </c>
      <c r="C3" s="21" t="n">
        <v>205489</v>
      </c>
      <c r="D3" s="21" t="n">
        <v>200583</v>
      </c>
      <c r="E3" s="21" t="n">
        <v>201183</v>
      </c>
      <c r="F3" s="21" t="n">
        <v>213000</v>
      </c>
      <c r="G3" s="21" t="n">
        <v>224000</v>
      </c>
    </row>
    <row r="4" customFormat="false" ht="15" hidden="false" customHeight="true" outlineLevel="0" collapsed="false">
      <c r="A4" s="23" t="s">
        <v>95</v>
      </c>
      <c r="B4" s="20" t="s">
        <v>94</v>
      </c>
      <c r="C4" s="21" t="n">
        <v>40177</v>
      </c>
      <c r="D4" s="21" t="n">
        <v>29357</v>
      </c>
      <c r="E4" s="21" t="n">
        <v>30670</v>
      </c>
      <c r="F4" s="21" t="n">
        <v>32000</v>
      </c>
      <c r="G4" s="21" t="n">
        <v>33500</v>
      </c>
    </row>
    <row r="5" customFormat="false" ht="15" hidden="false" customHeight="true" outlineLevel="0" collapsed="false">
      <c r="A5" s="23" t="s">
        <v>96</v>
      </c>
      <c r="B5" s="20" t="s">
        <v>94</v>
      </c>
      <c r="C5" s="21" t="n">
        <v>29292</v>
      </c>
      <c r="D5" s="21" t="n">
        <v>28300</v>
      </c>
      <c r="E5" s="21" t="n">
        <v>26694</v>
      </c>
      <c r="F5" s="21" t="n">
        <v>28000</v>
      </c>
      <c r="G5" s="21" t="n">
        <v>29000</v>
      </c>
    </row>
    <row r="6" customFormat="false" ht="15" hidden="false" customHeight="true" outlineLevel="0" collapsed="false">
      <c r="A6" s="23" t="s">
        <v>97</v>
      </c>
      <c r="B6" s="20" t="s">
        <v>94</v>
      </c>
      <c r="C6" s="21" t="n">
        <v>41241</v>
      </c>
      <c r="D6" s="21" t="n">
        <v>39845</v>
      </c>
      <c r="E6" s="21" t="n">
        <v>37005</v>
      </c>
      <c r="F6" s="21" t="n">
        <v>38500</v>
      </c>
      <c r="G6" s="21" t="n">
        <v>40000</v>
      </c>
    </row>
    <row r="7" customFormat="false" ht="15" hidden="false" customHeight="true" outlineLevel="0" collapsed="false">
      <c r="A7" s="23" t="s">
        <v>98</v>
      </c>
      <c r="B7" s="20" t="s">
        <v>94</v>
      </c>
      <c r="C7" s="21" t="n">
        <v>78129</v>
      </c>
      <c r="D7" s="21" t="n">
        <v>85200</v>
      </c>
      <c r="E7" s="21" t="n">
        <v>96169</v>
      </c>
      <c r="F7" s="21" t="n">
        <v>105000</v>
      </c>
      <c r="G7" s="21" t="n">
        <v>113000</v>
      </c>
    </row>
    <row r="8" customFormat="false" ht="15" hidden="false" customHeight="true" outlineLevel="0" collapsed="false">
      <c r="A8" s="30" t="s">
        <v>99</v>
      </c>
      <c r="B8" s="31"/>
      <c r="C8" s="32" t="n">
        <f aca="false">SUM(C3:C7)</f>
        <v>394328</v>
      </c>
      <c r="D8" s="32" t="n">
        <f aca="false">SUM(D3:D7)</f>
        <v>383285</v>
      </c>
      <c r="E8" s="32" t="n">
        <f aca="false">SUM(E3:E7)</f>
        <v>391721</v>
      </c>
      <c r="F8" s="32" t="n">
        <f aca="false">SUM(F3:F7)</f>
        <v>416500</v>
      </c>
      <c r="G8" s="32" t="n">
        <f aca="false">SUM(G3:G7)</f>
        <v>439500</v>
      </c>
    </row>
    <row r="9" customFormat="false" ht="15" hidden="false" customHeight="true" outlineLevel="0" collapsed="false">
      <c r="A9" s="23" t="s">
        <v>56</v>
      </c>
      <c r="B9" s="20" t="s">
        <v>100</v>
      </c>
      <c r="C9" s="33" t="s">
        <v>101</v>
      </c>
      <c r="D9" s="34" t="n">
        <f aca="false">(D8-C8)/C8</f>
        <v>-0.0280046053031994</v>
      </c>
      <c r="E9" s="34" t="n">
        <f aca="false">(E8-D8)/D8</f>
        <v>0.0220097316618182</v>
      </c>
      <c r="F9" s="34" t="n">
        <f aca="false">(F8-E8)/E8</f>
        <v>0.063256756722259</v>
      </c>
      <c r="G9" s="34" t="n">
        <f aca="false">(G8-F8)/F8</f>
        <v>0.0552220888355342</v>
      </c>
    </row>
    <row r="10" customFormat="false" ht="15" hidden="false" customHeight="true" outlineLevel="0" collapsed="false">
      <c r="A10" s="35" t="s">
        <v>102</v>
      </c>
      <c r="B10" s="36"/>
      <c r="C10" s="36"/>
      <c r="D10" s="36"/>
      <c r="E10" s="36"/>
      <c r="F10" s="36"/>
      <c r="G10" s="36"/>
      <c r="H10" s="36"/>
    </row>
    <row r="11" customFormat="false" ht="15" hidden="false" customHeight="true" outlineLevel="0" collapsed="false">
      <c r="A11" s="23" t="s">
        <v>103</v>
      </c>
      <c r="B11" s="20"/>
      <c r="C11" s="37" t="n">
        <f aca="false">C3/C8</f>
        <v>0.521111866263618</v>
      </c>
      <c r="D11" s="37" t="n">
        <f aca="false">D3/D8</f>
        <v>0.523325984580665</v>
      </c>
      <c r="E11" s="37" t="n">
        <f aca="false">E3/E8</f>
        <v>0.513587476801091</v>
      </c>
      <c r="F11" s="37" t="n">
        <f aca="false">F3/F8</f>
        <v>0.51140456182473</v>
      </c>
      <c r="G11" s="37" t="n">
        <f aca="false">G3/G8</f>
        <v>0.50967007963595</v>
      </c>
    </row>
    <row r="12" customFormat="false" ht="15" hidden="false" customHeight="true" outlineLevel="0" collapsed="false">
      <c r="A12" s="23" t="s">
        <v>104</v>
      </c>
      <c r="B12" s="20"/>
      <c r="C12" s="37" t="n">
        <f aca="false">C4/C8</f>
        <v>0.101887261366172</v>
      </c>
      <c r="D12" s="37" t="n">
        <f aca="false">D4/D8</f>
        <v>0.0765931356562349</v>
      </c>
      <c r="E12" s="37" t="n">
        <f aca="false">E4/E8</f>
        <v>0.078295521557435</v>
      </c>
      <c r="F12" s="37" t="n">
        <f aca="false">F4/F8</f>
        <v>0.0768307322929172</v>
      </c>
      <c r="G12" s="37" t="n">
        <f aca="false">G4/G8</f>
        <v>0.0762229806598407</v>
      </c>
    </row>
    <row r="13" customFormat="false" ht="15" hidden="false" customHeight="true" outlineLevel="0" collapsed="false">
      <c r="A13" s="23" t="s">
        <v>105</v>
      </c>
      <c r="B13" s="20"/>
      <c r="C13" s="37" t="n">
        <f aca="false">C5/C8</f>
        <v>0.0742833377289972</v>
      </c>
      <c r="D13" s="37" t="n">
        <f aca="false">D5/D8</f>
        <v>0.0738353966369673</v>
      </c>
      <c r="E13" s="37" t="n">
        <f aca="false">E5/E8</f>
        <v>0.0681454402495654</v>
      </c>
      <c r="F13" s="37" t="n">
        <f aca="false">F5/F8</f>
        <v>0.0672268907563025</v>
      </c>
      <c r="G13" s="37" t="n">
        <f aca="false">G5/G8</f>
        <v>0.0659840728100114</v>
      </c>
    </row>
    <row r="14" customFormat="false" ht="15" hidden="false" customHeight="true" outlineLevel="0" collapsed="false">
      <c r="A14" s="23" t="s">
        <v>106</v>
      </c>
      <c r="B14" s="20"/>
      <c r="C14" s="37" t="n">
        <f aca="false">C6/C8</f>
        <v>0.104585522712057</v>
      </c>
      <c r="D14" s="37" t="n">
        <f aca="false">D6/D8</f>
        <v>0.103956585830387</v>
      </c>
      <c r="E14" s="37" t="n">
        <f aca="false">E6/E8</f>
        <v>0.0944677461764879</v>
      </c>
      <c r="F14" s="37" t="n">
        <f aca="false">F6/F8</f>
        <v>0.092436974789916</v>
      </c>
      <c r="G14" s="37" t="n">
        <f aca="false">G6/G8</f>
        <v>0.0910125142207054</v>
      </c>
    </row>
    <row r="15" customFormat="false" ht="15" hidden="false" customHeight="true" outlineLevel="0" collapsed="false">
      <c r="A15" s="23" t="s">
        <v>107</v>
      </c>
      <c r="B15" s="20"/>
      <c r="C15" s="37" t="n">
        <f aca="false">C7/C8</f>
        <v>0.198132011929155</v>
      </c>
      <c r="D15" s="37" t="n">
        <f aca="false">D7/D8</f>
        <v>0.222288897295746</v>
      </c>
      <c r="E15" s="37" t="n">
        <f aca="false">E7/E8</f>
        <v>0.245503815215421</v>
      </c>
      <c r="F15" s="37" t="n">
        <f aca="false">F7/F8</f>
        <v>0.252100840336134</v>
      </c>
      <c r="G15" s="37" t="n">
        <f aca="false">G7/G8</f>
        <v>0.257110352673493</v>
      </c>
    </row>
    <row r="17" customFormat="false" ht="15" hidden="false" customHeight="true" outlineLevel="0" collapsed="false">
      <c r="A17" s="38" t="s">
        <v>108</v>
      </c>
      <c r="B17" s="38"/>
      <c r="C17" s="38"/>
      <c r="D17" s="38"/>
      <c r="E17" s="38"/>
      <c r="F17" s="38"/>
      <c r="G17" s="38"/>
    </row>
  </sheetData>
  <mergeCells count="1"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  <col collapsed="false" customWidth="true" hidden="false" outlineLevel="0" max="7" min="3" style="1" width="14"/>
  </cols>
  <sheetData>
    <row r="1" customFormat="false" ht="24.75" hidden="false" customHeight="true" outlineLevel="0" collapsed="false">
      <c r="A1" s="28" t="s">
        <v>109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15" t="s">
        <v>110</v>
      </c>
      <c r="B2" s="15" t="s">
        <v>46</v>
      </c>
      <c r="C2" s="16" t="s">
        <v>48</v>
      </c>
      <c r="D2" s="16" t="s">
        <v>49</v>
      </c>
      <c r="E2" s="16" t="s">
        <v>50</v>
      </c>
      <c r="F2" s="16" t="s">
        <v>51</v>
      </c>
      <c r="G2" s="16" t="s">
        <v>52</v>
      </c>
    </row>
    <row r="3" customFormat="false" ht="15" hidden="false" customHeight="true" outlineLevel="0" collapsed="false">
      <c r="A3" s="35" t="s">
        <v>111</v>
      </c>
      <c r="B3" s="36"/>
      <c r="C3" s="36"/>
      <c r="D3" s="36"/>
      <c r="E3" s="36"/>
      <c r="F3" s="36"/>
      <c r="G3" s="36"/>
      <c r="H3" s="36"/>
    </row>
    <row r="4" customFormat="false" ht="15" hidden="false" customHeight="true" outlineLevel="0" collapsed="false">
      <c r="A4" s="23" t="s">
        <v>112</v>
      </c>
      <c r="B4" s="20" t="s">
        <v>62</v>
      </c>
      <c r="C4" s="39" t="n">
        <f aca="false">Assumptions!C8</f>
        <v>223544.5432</v>
      </c>
      <c r="D4" s="39" t="n">
        <f aca="false">Assumptions!D8</f>
        <v>214141.3295</v>
      </c>
      <c r="E4" s="39" t="n">
        <f aca="false">Assumptions!E8</f>
        <v>210337.7265</v>
      </c>
      <c r="F4" s="39" t="n">
        <f aca="false">Assumptions!F8</f>
        <v>220886.912316</v>
      </c>
      <c r="G4" s="39" t="n">
        <f aca="false">Assumptions!G8</f>
        <v>233722.40157</v>
      </c>
    </row>
    <row r="5" customFormat="false" ht="15" hidden="false" customHeight="true" outlineLevel="0" collapsed="false">
      <c r="A5" s="23" t="s">
        <v>59</v>
      </c>
      <c r="B5" s="20" t="s">
        <v>100</v>
      </c>
      <c r="C5" s="40" t="n">
        <f aca="false">Assumptions!C7</f>
        <v>0.4331</v>
      </c>
      <c r="D5" s="40" t="n">
        <f aca="false">Assumptions!D7</f>
        <v>0.4413</v>
      </c>
      <c r="E5" s="40" t="n">
        <f aca="false">Assumptions!E7</f>
        <v>0.4621</v>
      </c>
      <c r="F5" s="40" t="n">
        <f aca="false">Assumptions!F7</f>
        <v>0.4691</v>
      </c>
      <c r="G5" s="40" t="n">
        <f aca="false">Assumptions!G7</f>
        <v>0.475</v>
      </c>
    </row>
    <row r="6" customFormat="false" ht="15" hidden="false" customHeight="true" outlineLevel="0" collapsed="false">
      <c r="A6" s="35" t="s">
        <v>113</v>
      </c>
      <c r="B6" s="36"/>
      <c r="C6" s="36"/>
      <c r="D6" s="36"/>
      <c r="E6" s="36"/>
      <c r="F6" s="36"/>
      <c r="G6" s="36"/>
      <c r="H6" s="36"/>
    </row>
    <row r="7" customFormat="false" ht="15" hidden="false" customHeight="true" outlineLevel="0" collapsed="false">
      <c r="A7" s="23" t="s">
        <v>114</v>
      </c>
      <c r="B7" s="20" t="s">
        <v>62</v>
      </c>
      <c r="C7" s="39" t="n">
        <f aca="false">Assumptions!C11</f>
        <v>26262.2448</v>
      </c>
      <c r="D7" s="39" t="n">
        <f aca="false">Assumptions!D11</f>
        <v>29934.5585</v>
      </c>
      <c r="E7" s="39" t="n">
        <f aca="false">Assumptions!E11</f>
        <v>31361.007</v>
      </c>
      <c r="F7" s="39" t="n">
        <f aca="false">Assumptions!F11</f>
        <v>34533.08292</v>
      </c>
      <c r="G7" s="39" t="n">
        <f aca="false">Assumptions!G11</f>
        <v>36950.3987244</v>
      </c>
    </row>
    <row r="8" customFormat="false" ht="15" hidden="false" customHeight="true" outlineLevel="0" collapsed="false">
      <c r="A8" s="23" t="s">
        <v>115</v>
      </c>
      <c r="B8" s="20" t="s">
        <v>62</v>
      </c>
      <c r="C8" s="39" t="n">
        <f aca="false">Assumptions!C13</f>
        <v>25079.2608</v>
      </c>
      <c r="D8" s="39" t="n">
        <f aca="false">Assumptions!D13</f>
        <v>24913.525</v>
      </c>
      <c r="E8" s="39" t="n">
        <f aca="false">Assumptions!E13</f>
        <v>26121.138</v>
      </c>
      <c r="F8" s="39" t="n">
        <f aca="false">Assumptions!F13</f>
        <v>27460.04184</v>
      </c>
      <c r="G8" s="39" t="n">
        <f aca="false">Assumptions!G13</f>
        <v>28937.059242</v>
      </c>
    </row>
    <row r="9" customFormat="false" ht="15" hidden="false" customHeight="true" outlineLevel="0" collapsed="false">
      <c r="A9" s="30" t="s">
        <v>116</v>
      </c>
      <c r="B9" s="31"/>
      <c r="C9" s="32" t="n">
        <f aca="false">C7+C8</f>
        <v>51341.5056</v>
      </c>
      <c r="D9" s="32" t="n">
        <f aca="false">D7+D8</f>
        <v>54848.0835</v>
      </c>
      <c r="E9" s="32" t="n">
        <f aca="false">E7+E8</f>
        <v>57482.145</v>
      </c>
      <c r="F9" s="32" t="n">
        <f aca="false">F7+F8</f>
        <v>61993.12476</v>
      </c>
      <c r="G9" s="32" t="n">
        <f aca="false">G7+G8</f>
        <v>65887.4579664</v>
      </c>
    </row>
    <row r="10" customFormat="false" ht="15" hidden="false" customHeight="true" outlineLevel="0" collapsed="false">
      <c r="A10" s="23" t="s">
        <v>117</v>
      </c>
      <c r="B10" s="20" t="s">
        <v>100</v>
      </c>
      <c r="C10" s="34" t="n">
        <f aca="false">C9/Revenue!C8</f>
        <v>0.1302</v>
      </c>
      <c r="D10" s="34" t="n">
        <f aca="false">D9/Revenue!D8</f>
        <v>0.1431</v>
      </c>
      <c r="E10" s="34" t="n">
        <f aca="false">E9/Revenue!E8</f>
        <v>0.146742566775843</v>
      </c>
      <c r="F10" s="34" t="n">
        <f aca="false">F9/Revenue!F8</f>
        <v>0.148843036638656</v>
      </c>
      <c r="G10" s="34" t="n">
        <f aca="false">G9/Revenue!G8</f>
        <v>0.149914580128328</v>
      </c>
    </row>
    <row r="11" customFormat="false" ht="15" hidden="false" customHeight="true" outlineLevel="0" collapsed="false">
      <c r="A11" s="23" t="s">
        <v>64</v>
      </c>
      <c r="B11" s="20" t="s">
        <v>100</v>
      </c>
      <c r="C11" s="40" t="n">
        <f aca="false">Assumptions!C10</f>
        <v>0.0666</v>
      </c>
      <c r="D11" s="40" t="n">
        <f aca="false">Assumptions!D10</f>
        <v>0.0781</v>
      </c>
      <c r="E11" s="40" t="n">
        <f aca="false">Assumptions!E10</f>
        <v>0.0802</v>
      </c>
      <c r="F11" s="40" t="n">
        <f aca="false">Assumptions!F10</f>
        <v>0.083</v>
      </c>
      <c r="G11" s="40" t="n">
        <f aca="false">Assumptions!G10</f>
        <v>0.083</v>
      </c>
    </row>
    <row r="12" customFormat="false" ht="15" hidden="false" customHeight="true" outlineLevel="0" collapsed="false">
      <c r="A12" s="23" t="s">
        <v>66</v>
      </c>
      <c r="B12" s="20" t="s">
        <v>100</v>
      </c>
      <c r="C12" s="40" t="n">
        <f aca="false">Assumptions!C12</f>
        <v>0.0636</v>
      </c>
      <c r="D12" s="40" t="n">
        <f aca="false">Assumptions!D12</f>
        <v>0.065</v>
      </c>
      <c r="E12" s="40" t="n">
        <f aca="false">Assumptions!E12</f>
        <v>0.0668</v>
      </c>
      <c r="F12" s="40" t="n">
        <f aca="false">Assumptions!F12</f>
        <v>0.066</v>
      </c>
      <c r="G12" s="40" t="n">
        <f aca="false">Assumptions!G12</f>
        <v>0.065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  <col collapsed="false" customWidth="true" hidden="false" outlineLevel="0" max="7" min="3" style="1" width="14"/>
  </cols>
  <sheetData>
    <row r="1" customFormat="false" ht="24.75" hidden="false" customHeight="true" outlineLevel="0" collapsed="false">
      <c r="A1" s="28" t="s">
        <v>118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15" t="s">
        <v>119</v>
      </c>
      <c r="B2" s="15" t="s">
        <v>46</v>
      </c>
      <c r="C2" s="16" t="s">
        <v>48</v>
      </c>
      <c r="D2" s="16" t="s">
        <v>49</v>
      </c>
      <c r="E2" s="16" t="s">
        <v>50</v>
      </c>
      <c r="F2" s="16" t="s">
        <v>51</v>
      </c>
      <c r="G2" s="16" t="s">
        <v>52</v>
      </c>
    </row>
    <row r="3" customFormat="false" ht="15" hidden="false" customHeight="true" outlineLevel="0" collapsed="false">
      <c r="A3" s="23" t="s">
        <v>120</v>
      </c>
      <c r="B3" s="20" t="s">
        <v>94</v>
      </c>
      <c r="C3" s="21" t="n">
        <v>39440</v>
      </c>
      <c r="D3" s="21" t="n">
        <v>42117</v>
      </c>
      <c r="E3" s="21" t="n">
        <v>43715</v>
      </c>
      <c r="F3" s="39" t="n">
        <f aca="false">E7</f>
        <v>41717</v>
      </c>
      <c r="G3" s="39" t="n">
        <f aca="false">F7</f>
        <v>39793</v>
      </c>
    </row>
    <row r="4" customFormat="false" ht="15" hidden="false" customHeight="true" outlineLevel="0" collapsed="false">
      <c r="A4" s="23" t="s">
        <v>121</v>
      </c>
      <c r="B4" s="20" t="s">
        <v>94</v>
      </c>
      <c r="C4" s="39" t="n">
        <f aca="false">Assumptions!C18</f>
        <v>10708</v>
      </c>
      <c r="D4" s="39" t="n">
        <f aca="false">Assumptions!D18</f>
        <v>10959</v>
      </c>
      <c r="E4" s="39" t="n">
        <f aca="false">Assumptions!E18</f>
        <v>9447</v>
      </c>
      <c r="F4" s="39" t="n">
        <f aca="false">Assumptions!F18</f>
        <v>9776</v>
      </c>
      <c r="G4" s="39" t="n">
        <f aca="false">Assumptions!G18</f>
        <v>10075</v>
      </c>
    </row>
    <row r="5" customFormat="false" ht="15" hidden="false" customHeight="true" outlineLevel="0" collapsed="false">
      <c r="A5" s="23" t="s">
        <v>122</v>
      </c>
      <c r="B5" s="20" t="s">
        <v>94</v>
      </c>
      <c r="C5" s="39" t="n">
        <f aca="false">Assumptions!C19</f>
        <v>11104</v>
      </c>
      <c r="D5" s="39" t="n">
        <f aca="false">Assumptions!D19</f>
        <v>11519</v>
      </c>
      <c r="E5" s="39" t="n">
        <f aca="false">Assumptions!E19</f>
        <v>11445</v>
      </c>
      <c r="F5" s="39" t="n">
        <f aca="false">Assumptions!F19</f>
        <v>11700</v>
      </c>
      <c r="G5" s="39" t="n">
        <f aca="false">Assumptions!G19</f>
        <v>12000</v>
      </c>
    </row>
    <row r="6" customFormat="false" ht="15" hidden="false" customHeight="true" outlineLevel="0" collapsed="false">
      <c r="A6" s="23" t="s">
        <v>123</v>
      </c>
      <c r="B6" s="20" t="s">
        <v>94</v>
      </c>
      <c r="C6" s="21" t="n">
        <v>427</v>
      </c>
      <c r="D6" s="21" t="n">
        <v>1921</v>
      </c>
      <c r="E6" s="21" t="n">
        <v>0</v>
      </c>
      <c r="F6" s="21" t="n">
        <v>0</v>
      </c>
      <c r="G6" s="21" t="n">
        <v>0</v>
      </c>
    </row>
    <row r="7" customFormat="false" ht="15" hidden="false" customHeight="true" outlineLevel="0" collapsed="false">
      <c r="A7" s="30" t="s">
        <v>124</v>
      </c>
      <c r="B7" s="31" t="s">
        <v>94</v>
      </c>
      <c r="C7" s="32" t="n">
        <f aca="false">C3+C4-C5-C6</f>
        <v>38617</v>
      </c>
      <c r="D7" s="32" t="n">
        <f aca="false">D3+D4-D5-D6</f>
        <v>39636</v>
      </c>
      <c r="E7" s="32" t="n">
        <f aca="false">E3+E4-E5-E6</f>
        <v>41717</v>
      </c>
      <c r="F7" s="32" t="n">
        <f aca="false">F3+F4-F5-F6</f>
        <v>39793</v>
      </c>
      <c r="G7" s="32" t="n">
        <f aca="false">G3+G4-G5-G6</f>
        <v>37868</v>
      </c>
    </row>
    <row r="8" customFormat="false" ht="15" hidden="false" customHeight="true" outlineLevel="0" collapsed="false">
      <c r="A8" s="23" t="s">
        <v>125</v>
      </c>
      <c r="B8" s="20" t="s">
        <v>100</v>
      </c>
      <c r="C8" s="34" t="n">
        <f aca="false">C5/C3</f>
        <v>0.281541582150101</v>
      </c>
      <c r="D8" s="34" t="n">
        <f aca="false">D5/D3</f>
        <v>0.273500011871691</v>
      </c>
      <c r="E8" s="34" t="n">
        <f aca="false">E5/E3</f>
        <v>0.261809447558046</v>
      </c>
      <c r="F8" s="34" t="n">
        <f aca="false">F5/F3</f>
        <v>0.280461202866937</v>
      </c>
      <c r="G8" s="34" t="n">
        <f aca="false">G5/G3</f>
        <v>0.3015605759807</v>
      </c>
    </row>
    <row r="9" customFormat="false" ht="15" hidden="false" customHeight="true" outlineLevel="0" collapsed="false">
      <c r="A9" s="23" t="s">
        <v>126</v>
      </c>
      <c r="B9" s="20" t="s">
        <v>100</v>
      </c>
      <c r="C9" s="34" t="n">
        <f aca="false">C4/Revenue!C8</f>
        <v>0.0271550587328316</v>
      </c>
      <c r="D9" s="34" t="n">
        <f aca="false">D4/Revenue!D8</f>
        <v>0.0285923007683578</v>
      </c>
      <c r="E9" s="34" t="n">
        <f aca="false">E4/Revenue!E8</f>
        <v>0.0241166544555947</v>
      </c>
      <c r="F9" s="34" t="n">
        <f aca="false">F4/Revenue!F8</f>
        <v>0.0234717887154862</v>
      </c>
      <c r="G9" s="34" t="n">
        <f aca="false">G4/Revenue!G8</f>
        <v>0.0229237770193402</v>
      </c>
    </row>
    <row r="11" customFormat="false" ht="15" hidden="false" customHeight="true" outlineLevel="0" collapsed="false">
      <c r="A11" s="38" t="s">
        <v>127</v>
      </c>
      <c r="B11" s="38"/>
      <c r="C11" s="38"/>
      <c r="D11" s="38"/>
      <c r="E11" s="38"/>
      <c r="F11" s="38"/>
      <c r="G11" s="38"/>
    </row>
  </sheetData>
  <mergeCells count="1"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  <col collapsed="false" customWidth="true" hidden="false" outlineLevel="0" max="7" min="3" style="1" width="14"/>
  </cols>
  <sheetData>
    <row r="1" customFormat="false" ht="24.75" hidden="false" customHeight="true" outlineLevel="0" collapsed="false">
      <c r="A1" s="28" t="s">
        <v>128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15" t="s">
        <v>129</v>
      </c>
      <c r="B2" s="15" t="s">
        <v>46</v>
      </c>
      <c r="C2" s="16" t="s">
        <v>48</v>
      </c>
      <c r="D2" s="16" t="s">
        <v>49</v>
      </c>
      <c r="E2" s="16" t="s">
        <v>50</v>
      </c>
      <c r="F2" s="16" t="s">
        <v>51</v>
      </c>
      <c r="G2" s="16" t="s">
        <v>52</v>
      </c>
    </row>
    <row r="3" customFormat="false" ht="15" hidden="false" customHeight="true" outlineLevel="0" collapsed="false">
      <c r="A3" s="23" t="s">
        <v>79</v>
      </c>
      <c r="B3" s="20" t="s">
        <v>130</v>
      </c>
      <c r="C3" s="41" t="n">
        <f aca="false">Assumptions!C21</f>
        <v>26</v>
      </c>
      <c r="D3" s="41" t="n">
        <f aca="false">Assumptions!D21</f>
        <v>28</v>
      </c>
      <c r="E3" s="41" t="n">
        <f aca="false">Assumptions!E21</f>
        <v>31</v>
      </c>
      <c r="F3" s="41" t="n">
        <f aca="false">Assumptions!F21</f>
        <v>31</v>
      </c>
      <c r="G3" s="41" t="n">
        <f aca="false">Assumptions!G21</f>
        <v>31</v>
      </c>
    </row>
    <row r="4" customFormat="false" ht="15" hidden="false" customHeight="true" outlineLevel="0" collapsed="false">
      <c r="A4" s="23" t="s">
        <v>131</v>
      </c>
      <c r="B4" s="20" t="s">
        <v>94</v>
      </c>
      <c r="C4" s="26" t="n">
        <f aca="false">ROUND(C3*Revenue!C8/365,0)</f>
        <v>28089</v>
      </c>
      <c r="D4" s="26" t="n">
        <f aca="false">ROUND(D3*Revenue!D8/365,0)</f>
        <v>29403</v>
      </c>
      <c r="E4" s="26" t="n">
        <f aca="false">ROUND(E3*Revenue!E8/365,0)</f>
        <v>33269</v>
      </c>
      <c r="F4" s="26" t="n">
        <f aca="false">ROUND(F3*Revenue!F8/365,0)</f>
        <v>35374</v>
      </c>
      <c r="G4" s="26" t="n">
        <f aca="false">ROUND(G3*Revenue!G8/365,0)</f>
        <v>37327</v>
      </c>
    </row>
    <row r="5" customFormat="false" ht="15" hidden="false" customHeight="true" outlineLevel="0" collapsed="false">
      <c r="A5" s="23" t="s">
        <v>81</v>
      </c>
      <c r="B5" s="20" t="s">
        <v>130</v>
      </c>
      <c r="C5" s="41" t="n">
        <f aca="false">Assumptions!C22</f>
        <v>8</v>
      </c>
      <c r="D5" s="41" t="n">
        <f aca="false">Assumptions!D22</f>
        <v>11</v>
      </c>
      <c r="E5" s="41" t="n">
        <f aca="false">Assumptions!E22</f>
        <v>13</v>
      </c>
      <c r="F5" s="41" t="n">
        <f aca="false">Assumptions!F22</f>
        <v>13</v>
      </c>
      <c r="G5" s="41" t="n">
        <f aca="false">Assumptions!G22</f>
        <v>12</v>
      </c>
    </row>
    <row r="6" customFormat="false" ht="15" hidden="false" customHeight="true" outlineLevel="0" collapsed="false">
      <c r="A6" s="23" t="s">
        <v>132</v>
      </c>
      <c r="B6" s="20" t="s">
        <v>94</v>
      </c>
      <c r="C6" s="26" t="n">
        <f aca="false">ROUND(C5*Costs!C4/365,0)</f>
        <v>4900</v>
      </c>
      <c r="D6" s="26" t="n">
        <f aca="false">ROUND(D5*Costs!D4/365,0)</f>
        <v>6454</v>
      </c>
      <c r="E6" s="26" t="n">
        <f aca="false">ROUND(E5*Costs!E4/365,0)</f>
        <v>7491</v>
      </c>
      <c r="F6" s="26" t="n">
        <f aca="false">ROUND(F5*Costs!F4/365,0)</f>
        <v>7867</v>
      </c>
      <c r="G6" s="26" t="n">
        <f aca="false">ROUND(G5*Costs!G4/365,0)</f>
        <v>7684</v>
      </c>
    </row>
    <row r="7" customFormat="false" ht="15" hidden="false" customHeight="true" outlineLevel="0" collapsed="false">
      <c r="A7" s="23" t="s">
        <v>83</v>
      </c>
      <c r="B7" s="20" t="s">
        <v>130</v>
      </c>
      <c r="C7" s="41" t="n">
        <f aca="false">Assumptions!C23</f>
        <v>105</v>
      </c>
      <c r="D7" s="41" t="n">
        <f aca="false">Assumptions!D23</f>
        <v>107</v>
      </c>
      <c r="E7" s="41" t="n">
        <f aca="false">Assumptions!E23</f>
        <v>120</v>
      </c>
      <c r="F7" s="41" t="n">
        <f aca="false">Assumptions!F23</f>
        <v>118</v>
      </c>
      <c r="G7" s="41" t="n">
        <f aca="false">Assumptions!G23</f>
        <v>115</v>
      </c>
    </row>
    <row r="8" customFormat="false" ht="15" hidden="false" customHeight="true" outlineLevel="0" collapsed="false">
      <c r="A8" s="23" t="s">
        <v>133</v>
      </c>
      <c r="B8" s="20" t="s">
        <v>94</v>
      </c>
      <c r="C8" s="26" t="n">
        <f aca="false">ROUND(C7*Costs!C4/365,0)</f>
        <v>64307</v>
      </c>
      <c r="D8" s="26" t="n">
        <f aca="false">ROUND(D7*Costs!D4/365,0)</f>
        <v>62776</v>
      </c>
      <c r="E8" s="26" t="n">
        <f aca="false">ROUND(E7*Costs!E4/365,0)</f>
        <v>69152</v>
      </c>
      <c r="F8" s="26" t="n">
        <f aca="false">ROUND(F7*Costs!F4/365,0)</f>
        <v>71410</v>
      </c>
      <c r="G8" s="26" t="n">
        <f aca="false">ROUND(G7*Costs!G4/365,0)</f>
        <v>73639</v>
      </c>
    </row>
    <row r="9" customFormat="false" ht="15" hidden="false" customHeight="true" outlineLevel="0" collapsed="false">
      <c r="A9" s="30" t="s">
        <v>134</v>
      </c>
      <c r="B9" s="31" t="s">
        <v>135</v>
      </c>
      <c r="C9" s="32" t="n">
        <f aca="false">C4+C6-C8</f>
        <v>-31318</v>
      </c>
      <c r="D9" s="32" t="n">
        <f aca="false">D4+D6-D8</f>
        <v>-26919</v>
      </c>
      <c r="E9" s="32" t="n">
        <f aca="false">E4+E6-E8</f>
        <v>-28392</v>
      </c>
      <c r="F9" s="32" t="n">
        <f aca="false">F4+F6-F8</f>
        <v>-28169</v>
      </c>
      <c r="G9" s="32" t="n">
        <f aca="false">G4+G6-G8</f>
        <v>-28628</v>
      </c>
    </row>
    <row r="10" customFormat="false" ht="15" hidden="false" customHeight="true" outlineLevel="0" collapsed="false">
      <c r="A10" s="23" t="s">
        <v>136</v>
      </c>
      <c r="B10" s="20" t="s">
        <v>137</v>
      </c>
      <c r="C10" s="33" t="s">
        <v>101</v>
      </c>
      <c r="D10" s="26" t="n">
        <f aca="false">-(D9-C9)</f>
        <v>-4399</v>
      </c>
      <c r="E10" s="26" t="n">
        <f aca="false">-(E9-D9)</f>
        <v>1473</v>
      </c>
      <c r="F10" s="26" t="n">
        <f aca="false">-(F9-E9)</f>
        <v>-223</v>
      </c>
      <c r="G10" s="26" t="n">
        <f aca="false">-(G9-F9)</f>
        <v>459</v>
      </c>
    </row>
    <row r="12" customFormat="false" ht="15" hidden="false" customHeight="true" outlineLevel="0" collapsed="false">
      <c r="A12" s="38" t="s">
        <v>138</v>
      </c>
      <c r="B12" s="38"/>
      <c r="C12" s="38"/>
      <c r="D12" s="38"/>
      <c r="E12" s="38"/>
      <c r="F12" s="38"/>
      <c r="G12" s="38"/>
    </row>
    <row r="13" customFormat="false" ht="15" hidden="false" customHeight="true" outlineLevel="0" collapsed="false">
      <c r="A13" s="38" t="s">
        <v>139</v>
      </c>
      <c r="B13" s="38"/>
      <c r="C13" s="38"/>
      <c r="D13" s="38"/>
      <c r="E13" s="38"/>
      <c r="F13" s="38"/>
      <c r="G13" s="38"/>
    </row>
  </sheetData>
  <mergeCells count="2">
    <mergeCell ref="A12:G12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  <col collapsed="false" customWidth="true" hidden="false" outlineLevel="0" max="7" min="3" style="1" width="14"/>
  </cols>
  <sheetData>
    <row r="1" customFormat="false" ht="24.75" hidden="false" customHeight="true" outlineLevel="0" collapsed="false">
      <c r="A1" s="12" t="s">
        <v>140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15" t="s">
        <v>141</v>
      </c>
      <c r="B2" s="15" t="s">
        <v>46</v>
      </c>
      <c r="C2" s="16" t="s">
        <v>48</v>
      </c>
      <c r="D2" s="16" t="s">
        <v>49</v>
      </c>
      <c r="E2" s="16" t="s">
        <v>50</v>
      </c>
      <c r="F2" s="16" t="s">
        <v>51</v>
      </c>
      <c r="G2" s="16" t="s">
        <v>52</v>
      </c>
    </row>
    <row r="3" customFormat="false" ht="15" hidden="false" customHeight="true" outlineLevel="0" collapsed="false">
      <c r="A3" s="42" t="s">
        <v>20</v>
      </c>
      <c r="B3" s="43" t="s">
        <v>94</v>
      </c>
      <c r="C3" s="44" t="n">
        <f aca="false">Revenue!C8</f>
        <v>394328</v>
      </c>
      <c r="D3" s="44" t="n">
        <f aca="false">Revenue!D8</f>
        <v>383285</v>
      </c>
      <c r="E3" s="44" t="n">
        <f aca="false">Revenue!E8</f>
        <v>391721</v>
      </c>
      <c r="F3" s="44" t="n">
        <f aca="false">Revenue!F8</f>
        <v>416500</v>
      </c>
      <c r="G3" s="44" t="n">
        <f aca="false">Revenue!G8</f>
        <v>439500</v>
      </c>
    </row>
    <row r="4" customFormat="false" ht="15" hidden="false" customHeight="true" outlineLevel="0" collapsed="false">
      <c r="A4" s="45" t="s">
        <v>142</v>
      </c>
      <c r="B4" s="20" t="s">
        <v>94</v>
      </c>
      <c r="C4" s="39" t="n">
        <f aca="false">Costs!C4</f>
        <v>223544.5432</v>
      </c>
      <c r="D4" s="39" t="n">
        <f aca="false">Costs!D4</f>
        <v>214141.3295</v>
      </c>
      <c r="E4" s="39" t="n">
        <f aca="false">Costs!E4</f>
        <v>210337.7265</v>
      </c>
      <c r="F4" s="39" t="n">
        <f aca="false">Costs!F4</f>
        <v>220886.912316</v>
      </c>
      <c r="G4" s="39" t="n">
        <f aca="false">Costs!G4</f>
        <v>233722.40157</v>
      </c>
    </row>
    <row r="5" customFormat="false" ht="15" hidden="false" customHeight="true" outlineLevel="0" collapsed="false">
      <c r="A5" s="46" t="s">
        <v>143</v>
      </c>
      <c r="B5" s="43" t="s">
        <v>94</v>
      </c>
      <c r="C5" s="44" t="n">
        <f aca="false">C3-C4</f>
        <v>170783.4568</v>
      </c>
      <c r="D5" s="44" t="n">
        <f aca="false">D3-D4</f>
        <v>169143.6705</v>
      </c>
      <c r="E5" s="44" t="n">
        <f aca="false">E3-E4</f>
        <v>181383.2735</v>
      </c>
      <c r="F5" s="44" t="n">
        <f aca="false">F3-F4</f>
        <v>195613.087684</v>
      </c>
      <c r="G5" s="44" t="n">
        <f aca="false">G3-G4</f>
        <v>205777.59843</v>
      </c>
    </row>
    <row r="6" customFormat="false" ht="15" hidden="false" customHeight="true" outlineLevel="0" collapsed="false">
      <c r="A6" s="45" t="s">
        <v>59</v>
      </c>
      <c r="B6" s="20" t="s">
        <v>94</v>
      </c>
      <c r="C6" s="34" t="n">
        <f aca="false">C5/C3</f>
        <v>0.4331</v>
      </c>
      <c r="D6" s="34" t="n">
        <f aca="false">D5/D3</f>
        <v>0.4413</v>
      </c>
      <c r="E6" s="34" t="n">
        <f aca="false">E5/E3</f>
        <v>0.463041995450844</v>
      </c>
      <c r="F6" s="34" t="n">
        <f aca="false">F5/F3</f>
        <v>0.469659274151261</v>
      </c>
      <c r="G6" s="34" t="n">
        <f aca="false">G5/G3</f>
        <v>0.468208415085324</v>
      </c>
    </row>
    <row r="7" customFormat="false" ht="15" hidden="false" customHeight="true" outlineLevel="0" collapsed="false">
      <c r="A7" s="35" t="s">
        <v>144</v>
      </c>
      <c r="B7" s="36"/>
      <c r="C7" s="36"/>
      <c r="D7" s="36"/>
      <c r="E7" s="36"/>
      <c r="F7" s="36"/>
      <c r="G7" s="36"/>
      <c r="H7" s="36"/>
    </row>
    <row r="8" customFormat="false" ht="15" hidden="false" customHeight="true" outlineLevel="0" collapsed="false">
      <c r="A8" s="45" t="s">
        <v>145</v>
      </c>
      <c r="B8" s="20" t="s">
        <v>94</v>
      </c>
      <c r="C8" s="39" t="n">
        <f aca="false">Costs!C7</f>
        <v>26262.2448</v>
      </c>
      <c r="D8" s="39" t="n">
        <f aca="false">Costs!D7</f>
        <v>29934.5585</v>
      </c>
      <c r="E8" s="39" t="n">
        <f aca="false">Costs!E7</f>
        <v>31361.007</v>
      </c>
      <c r="F8" s="39" t="n">
        <f aca="false">Costs!F7</f>
        <v>34533.08292</v>
      </c>
      <c r="G8" s="39" t="n">
        <f aca="false">Costs!G7</f>
        <v>36950.3987244</v>
      </c>
    </row>
    <row r="9" customFormat="false" ht="15" hidden="false" customHeight="true" outlineLevel="0" collapsed="false">
      <c r="A9" s="45" t="s">
        <v>146</v>
      </c>
      <c r="B9" s="20" t="s">
        <v>94</v>
      </c>
      <c r="C9" s="39" t="n">
        <f aca="false">Costs!C8</f>
        <v>25079.2608</v>
      </c>
      <c r="D9" s="39" t="n">
        <f aca="false">Costs!D8</f>
        <v>24913.525</v>
      </c>
      <c r="E9" s="39" t="n">
        <f aca="false">Costs!E8</f>
        <v>26121.138</v>
      </c>
      <c r="F9" s="39" t="n">
        <f aca="false">Costs!F8</f>
        <v>27460.04184</v>
      </c>
      <c r="G9" s="39" t="n">
        <f aca="false">Costs!G8</f>
        <v>28937.059242</v>
      </c>
    </row>
    <row r="10" customFormat="false" ht="15" hidden="false" customHeight="true" outlineLevel="0" collapsed="false">
      <c r="A10" s="46" t="s">
        <v>147</v>
      </c>
      <c r="B10" s="43" t="s">
        <v>94</v>
      </c>
      <c r="C10" s="44" t="n">
        <f aca="false">C8+C9</f>
        <v>51341.5056</v>
      </c>
      <c r="D10" s="44" t="n">
        <f aca="false">D8+D9</f>
        <v>54848.0835</v>
      </c>
      <c r="E10" s="44" t="n">
        <f aca="false">E8+E9</f>
        <v>57482.145</v>
      </c>
      <c r="F10" s="44" t="n">
        <f aca="false">F8+F9</f>
        <v>61993.12476</v>
      </c>
      <c r="G10" s="44" t="n">
        <f aca="false">G8+G9</f>
        <v>65887.4579664</v>
      </c>
    </row>
    <row r="11" customFormat="false" ht="15" hidden="false" customHeight="true" outlineLevel="0" collapsed="false">
      <c r="A11" s="46" t="s">
        <v>148</v>
      </c>
      <c r="B11" s="43" t="s">
        <v>94</v>
      </c>
      <c r="C11" s="44" t="n">
        <f aca="false">C5-C10+Assumptions!C19</f>
        <v>130545.9512</v>
      </c>
      <c r="D11" s="44" t="n">
        <f aca="false">D5-D10+Assumptions!D19</f>
        <v>125814.587</v>
      </c>
      <c r="E11" s="44" t="n">
        <f aca="false">E5-E10+Assumptions!E19</f>
        <v>135346.1285</v>
      </c>
      <c r="F11" s="44" t="n">
        <f aca="false">F5-F10+Assumptions!F19</f>
        <v>145319.962924</v>
      </c>
      <c r="G11" s="44" t="n">
        <f aca="false">G5-G10+Assumptions!G19</f>
        <v>151890.1404636</v>
      </c>
    </row>
    <row r="12" customFormat="false" ht="15" hidden="false" customHeight="true" outlineLevel="0" collapsed="false">
      <c r="A12" s="45" t="s">
        <v>149</v>
      </c>
      <c r="B12" s="20" t="s">
        <v>94</v>
      </c>
      <c r="C12" s="34" t="n">
        <f aca="false">C11/C3</f>
        <v>0.331059298857804</v>
      </c>
      <c r="D12" s="34" t="n">
        <f aca="false">D11/D3</f>
        <v>0.3282533545534</v>
      </c>
      <c r="E12" s="34" t="n">
        <f aca="false">E11/E3</f>
        <v>0.345516652158041</v>
      </c>
      <c r="F12" s="34" t="n">
        <f aca="false">F11/F3</f>
        <v>0.348907474007203</v>
      </c>
      <c r="G12" s="34" t="n">
        <f aca="false">G11/G3</f>
        <v>0.345597589223208</v>
      </c>
    </row>
    <row r="13" customFormat="false" ht="15" hidden="false" customHeight="true" outlineLevel="0" collapsed="false">
      <c r="A13" s="45" t="s">
        <v>150</v>
      </c>
      <c r="B13" s="20" t="s">
        <v>94</v>
      </c>
      <c r="C13" s="39" t="n">
        <f aca="false">Assumptions!C19</f>
        <v>11104</v>
      </c>
      <c r="D13" s="39" t="n">
        <f aca="false">Assumptions!D19</f>
        <v>11519</v>
      </c>
      <c r="E13" s="39" t="n">
        <f aca="false">Assumptions!E19</f>
        <v>11445</v>
      </c>
      <c r="F13" s="39" t="n">
        <f aca="false">Assumptions!F19</f>
        <v>11700</v>
      </c>
      <c r="G13" s="39" t="n">
        <f aca="false">Assumptions!G19</f>
        <v>12000</v>
      </c>
    </row>
    <row r="14" customFormat="false" ht="15" hidden="false" customHeight="true" outlineLevel="0" collapsed="false">
      <c r="A14" s="46" t="s">
        <v>151</v>
      </c>
      <c r="B14" s="43" t="s">
        <v>94</v>
      </c>
      <c r="C14" s="44" t="n">
        <f aca="false">C11-C13</f>
        <v>119441.9512</v>
      </c>
      <c r="D14" s="44" t="n">
        <f aca="false">D11-D13</f>
        <v>114295.587</v>
      </c>
      <c r="E14" s="44" t="n">
        <f aca="false">E11-E13</f>
        <v>123901.1285</v>
      </c>
      <c r="F14" s="44" t="n">
        <f aca="false">F11-F13</f>
        <v>133619.962924</v>
      </c>
      <c r="G14" s="44" t="n">
        <f aca="false">G11-G13</f>
        <v>139890.1404636</v>
      </c>
    </row>
    <row r="15" customFormat="false" ht="15" hidden="false" customHeight="true" outlineLevel="0" collapsed="false">
      <c r="A15" s="45" t="s">
        <v>152</v>
      </c>
      <c r="B15" s="20" t="s">
        <v>94</v>
      </c>
      <c r="C15" s="34" t="n">
        <f aca="false">C14/C3</f>
        <v>0.3029</v>
      </c>
      <c r="D15" s="34" t="n">
        <f aca="false">D14/D3</f>
        <v>0.2982</v>
      </c>
      <c r="E15" s="34" t="n">
        <f aca="false">E14/E3</f>
        <v>0.316299428675001</v>
      </c>
      <c r="F15" s="34" t="n">
        <f aca="false">F14/F3</f>
        <v>0.320816237512605</v>
      </c>
      <c r="G15" s="34" t="n">
        <f aca="false">G14/G3</f>
        <v>0.318293834956996</v>
      </c>
    </row>
    <row r="16" customFormat="false" ht="15" hidden="false" customHeight="true" outlineLevel="0" collapsed="false">
      <c r="A16" s="45" t="s">
        <v>153</v>
      </c>
      <c r="B16" s="20" t="s">
        <v>94</v>
      </c>
      <c r="C16" s="39" t="n">
        <f aca="false">Assumptions!C16</f>
        <v>-334</v>
      </c>
      <c r="D16" s="39" t="n">
        <f aca="false">Assumptions!D16</f>
        <v>-565</v>
      </c>
      <c r="E16" s="39" t="n">
        <f aca="false">Assumptions!E16</f>
        <v>269</v>
      </c>
      <c r="F16" s="39" t="n">
        <f aca="false">Assumptions!F16</f>
        <v>-300</v>
      </c>
      <c r="G16" s="39" t="n">
        <f aca="false">Assumptions!G16</f>
        <v>-250</v>
      </c>
    </row>
    <row r="17" customFormat="false" ht="15" hidden="false" customHeight="true" outlineLevel="0" collapsed="false">
      <c r="A17" s="46" t="s">
        <v>154</v>
      </c>
      <c r="B17" s="43" t="s">
        <v>94</v>
      </c>
      <c r="C17" s="44" t="n">
        <f aca="false">C14+C16</f>
        <v>119107.9512</v>
      </c>
      <c r="D17" s="44" t="n">
        <f aca="false">D14+D16</f>
        <v>113730.587</v>
      </c>
      <c r="E17" s="44" t="n">
        <f aca="false">E14+E16</f>
        <v>124170.1285</v>
      </c>
      <c r="F17" s="44" t="n">
        <f aca="false">F14+F16</f>
        <v>133319.962924</v>
      </c>
      <c r="G17" s="44" t="n">
        <f aca="false">G14+G16</f>
        <v>139640.1404636</v>
      </c>
    </row>
    <row r="18" customFormat="false" ht="15" hidden="false" customHeight="true" outlineLevel="0" collapsed="false">
      <c r="A18" s="45" t="s">
        <v>155</v>
      </c>
      <c r="B18" s="20" t="s">
        <v>94</v>
      </c>
      <c r="C18" s="39" t="n">
        <f aca="false">IF(C17&gt;0,C17*Assumptions!C15,0)</f>
        <v>19295.4880944</v>
      </c>
      <c r="D18" s="39" t="n">
        <f aca="false">IF(D17&gt;0,D17*Assumptions!D15,0)</f>
        <v>16718.396289</v>
      </c>
      <c r="E18" s="39" t="n">
        <f aca="false">IF(E17&gt;0,E17*Assumptions!E15,0)</f>
        <v>29925.0009685</v>
      </c>
      <c r="F18" s="39" t="n">
        <f aca="false">IF(F17&gt;0,F17*Assumptions!F15,0)</f>
        <v>21331.19406784</v>
      </c>
      <c r="G18" s="39" t="n">
        <f aca="false">IF(G17&gt;0,G17*Assumptions!G15,0)</f>
        <v>22342.422474176</v>
      </c>
    </row>
    <row r="19" customFormat="false" ht="15" hidden="false" customHeight="true" outlineLevel="0" collapsed="false">
      <c r="A19" s="47" t="s">
        <v>156</v>
      </c>
      <c r="B19" s="48" t="s">
        <v>94</v>
      </c>
      <c r="C19" s="49" t="n">
        <f aca="false">C17-C18</f>
        <v>99812.4631056</v>
      </c>
      <c r="D19" s="49" t="n">
        <f aca="false">D17-D18</f>
        <v>97012.190711</v>
      </c>
      <c r="E19" s="49" t="n">
        <f aca="false">E17-E18</f>
        <v>94245.1275315</v>
      </c>
      <c r="F19" s="49" t="n">
        <f aca="false">F17-F18</f>
        <v>111988.76885616</v>
      </c>
      <c r="G19" s="49" t="n">
        <f aca="false">G17-G18</f>
        <v>117297.717989424</v>
      </c>
    </row>
    <row r="20" customFormat="false" ht="15" hidden="false" customHeight="true" outlineLevel="0" collapsed="false">
      <c r="A20" s="45" t="s">
        <v>157</v>
      </c>
      <c r="B20" s="20" t="s">
        <v>94</v>
      </c>
      <c r="C20" s="34" t="n">
        <f aca="false">C19/C3</f>
        <v>0.253120405108438</v>
      </c>
      <c r="D20" s="34" t="n">
        <f aca="false">D19/D3</f>
        <v>0.253107193631371</v>
      </c>
      <c r="E20" s="34" t="n">
        <f aca="false">E19/E3</f>
        <v>0.240592481719132</v>
      </c>
      <c r="F20" s="34" t="n">
        <f aca="false">F19/F3</f>
        <v>0.268880597493782</v>
      </c>
      <c r="G20" s="34" t="n">
        <f aca="false">G19/G3</f>
        <v>0.266889005664218</v>
      </c>
    </row>
    <row r="21" customFormat="false" ht="15" hidden="false" customHeight="true" outlineLevel="0" collapsed="false">
      <c r="A21" s="45" t="s">
        <v>158</v>
      </c>
      <c r="B21" s="20" t="s">
        <v>94</v>
      </c>
      <c r="C21" s="34" t="n">
        <f aca="false">IF(C17&gt;0,C18/C17,0)</f>
        <v>0.162</v>
      </c>
      <c r="D21" s="34" t="n">
        <f aca="false">IF(D17&gt;0,D18/D17,0)</f>
        <v>0.147</v>
      </c>
      <c r="E21" s="34" t="n">
        <f aca="false">IF(E17&gt;0,E18/E17,0)</f>
        <v>0.241</v>
      </c>
      <c r="F21" s="34" t="n">
        <f aca="false">IF(F17&gt;0,F18/F17,0)</f>
        <v>0.16</v>
      </c>
      <c r="G21" s="34" t="n">
        <f aca="false">IF(G17&gt;0,G18/G17,0)</f>
        <v>0.16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  <col collapsed="false" customWidth="true" hidden="false" outlineLevel="0" max="7" min="3" style="1" width="14"/>
  </cols>
  <sheetData>
    <row r="1" customFormat="false" ht="24.75" hidden="false" customHeight="true" outlineLevel="0" collapsed="false">
      <c r="A1" s="28" t="s">
        <v>159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15" t="s">
        <v>160</v>
      </c>
      <c r="B2" s="15" t="s">
        <v>46</v>
      </c>
      <c r="C2" s="16" t="s">
        <v>48</v>
      </c>
      <c r="D2" s="16" t="s">
        <v>49</v>
      </c>
      <c r="E2" s="16" t="s">
        <v>50</v>
      </c>
      <c r="F2" s="16" t="s">
        <v>51</v>
      </c>
      <c r="G2" s="16" t="s">
        <v>52</v>
      </c>
    </row>
    <row r="3" customFormat="false" ht="15" hidden="false" customHeight="true" outlineLevel="0" collapsed="false">
      <c r="A3" s="35" t="s">
        <v>161</v>
      </c>
      <c r="B3" s="36"/>
      <c r="C3" s="36"/>
      <c r="D3" s="36"/>
      <c r="E3" s="36"/>
      <c r="F3" s="36"/>
      <c r="G3" s="36"/>
      <c r="H3" s="36"/>
    </row>
    <row r="4" customFormat="false" ht="15" hidden="false" customHeight="true" outlineLevel="0" collapsed="false">
      <c r="A4" s="50" t="s">
        <v>162</v>
      </c>
      <c r="B4" s="51"/>
      <c r="C4" s="51"/>
      <c r="D4" s="51"/>
      <c r="E4" s="51"/>
      <c r="F4" s="51"/>
      <c r="G4" s="51"/>
      <c r="H4" s="51"/>
    </row>
    <row r="5" customFormat="false" ht="15" hidden="false" customHeight="true" outlineLevel="0" collapsed="false">
      <c r="A5" s="23" t="s">
        <v>163</v>
      </c>
      <c r="B5" s="20" t="s">
        <v>94</v>
      </c>
      <c r="C5" s="21" t="n">
        <v>23646</v>
      </c>
      <c r="D5" s="21" t="n">
        <v>29965</v>
      </c>
      <c r="E5" s="21" t="n">
        <v>29943</v>
      </c>
      <c r="F5" s="39" t="n">
        <f aca="false">E5+CF!F21</f>
        <v>70075.76885616</v>
      </c>
      <c r="G5" s="39" t="n">
        <f aca="false">F5+CF!G21</f>
        <v>161033.255701744</v>
      </c>
    </row>
    <row r="6" customFormat="false" ht="15" hidden="false" customHeight="true" outlineLevel="0" collapsed="false">
      <c r="A6" s="45" t="s">
        <v>164</v>
      </c>
      <c r="B6" s="20" t="s">
        <v>94</v>
      </c>
      <c r="C6" s="39" t="n">
        <f aca="false">'Working Capital'!C4</f>
        <v>28089</v>
      </c>
      <c r="D6" s="39" t="n">
        <f aca="false">'Working Capital'!D4</f>
        <v>29403</v>
      </c>
      <c r="E6" s="39" t="n">
        <f aca="false">'Working Capital'!E4</f>
        <v>33269</v>
      </c>
      <c r="F6" s="39" t="n">
        <f aca="false">'Working Capital'!F4</f>
        <v>35374</v>
      </c>
      <c r="G6" s="39" t="n">
        <f aca="false">'Working Capital'!G4</f>
        <v>37327</v>
      </c>
    </row>
    <row r="7" customFormat="false" ht="15" hidden="false" customHeight="true" outlineLevel="0" collapsed="false">
      <c r="A7" s="45" t="s">
        <v>165</v>
      </c>
      <c r="B7" s="20" t="s">
        <v>94</v>
      </c>
      <c r="C7" s="39" t="n">
        <f aca="false">'Working Capital'!C6</f>
        <v>4900</v>
      </c>
      <c r="D7" s="39" t="n">
        <f aca="false">'Working Capital'!D6</f>
        <v>6454</v>
      </c>
      <c r="E7" s="39" t="n">
        <f aca="false">'Working Capital'!E6</f>
        <v>7491</v>
      </c>
      <c r="F7" s="39" t="n">
        <f aca="false">'Working Capital'!F6</f>
        <v>7867</v>
      </c>
      <c r="G7" s="39" t="n">
        <f aca="false">'Working Capital'!G6</f>
        <v>7684</v>
      </c>
    </row>
    <row r="8" customFormat="false" ht="15" hidden="false" customHeight="true" outlineLevel="0" collapsed="false">
      <c r="A8" s="45" t="s">
        <v>166</v>
      </c>
      <c r="B8" s="20" t="s">
        <v>94</v>
      </c>
      <c r="C8" s="21" t="n">
        <v>24658</v>
      </c>
      <c r="D8" s="21" t="n">
        <v>31590</v>
      </c>
      <c r="E8" s="21" t="n">
        <v>35228</v>
      </c>
      <c r="F8" s="21" t="n">
        <v>36000</v>
      </c>
      <c r="G8" s="21" t="n">
        <v>37000</v>
      </c>
    </row>
    <row r="9" customFormat="false" ht="15" hidden="false" customHeight="true" outlineLevel="0" collapsed="false">
      <c r="A9" s="45" t="s">
        <v>167</v>
      </c>
      <c r="B9" s="20" t="s">
        <v>94</v>
      </c>
      <c r="C9" s="21" t="n">
        <v>21223</v>
      </c>
      <c r="D9" s="21" t="n">
        <v>14695</v>
      </c>
      <c r="E9" s="21" t="n">
        <v>14287</v>
      </c>
      <c r="F9" s="21" t="n">
        <v>14000</v>
      </c>
      <c r="G9" s="21" t="n">
        <v>13800</v>
      </c>
    </row>
    <row r="10" customFormat="false" ht="15" hidden="false" customHeight="true" outlineLevel="0" collapsed="false">
      <c r="A10" s="46" t="s">
        <v>168</v>
      </c>
      <c r="B10" s="43" t="s">
        <v>94</v>
      </c>
      <c r="C10" s="44" t="n">
        <f aca="false">SUM(C5:C9)</f>
        <v>102516</v>
      </c>
      <c r="D10" s="44" t="n">
        <f aca="false">SUM(D5:D9)</f>
        <v>112107</v>
      </c>
      <c r="E10" s="44" t="n">
        <f aca="false">SUM(E5:E9)</f>
        <v>120218</v>
      </c>
      <c r="F10" s="44" t="n">
        <f aca="false">SUM(F5:F9)</f>
        <v>163316.76885616</v>
      </c>
      <c r="G10" s="44" t="n">
        <f aca="false">SUM(G5:G9)</f>
        <v>256844.255701744</v>
      </c>
    </row>
    <row r="11" customFormat="false" ht="15" hidden="false" customHeight="true" outlineLevel="0" collapsed="false">
      <c r="A11" s="50" t="s">
        <v>169</v>
      </c>
      <c r="B11" s="51"/>
      <c r="C11" s="51"/>
      <c r="D11" s="51"/>
      <c r="E11" s="51"/>
      <c r="F11" s="51"/>
      <c r="G11" s="51"/>
      <c r="H11" s="51"/>
    </row>
    <row r="12" customFormat="false" ht="15" hidden="false" customHeight="true" outlineLevel="0" collapsed="false">
      <c r="A12" s="45" t="s">
        <v>170</v>
      </c>
      <c r="B12" s="20" t="s">
        <v>94</v>
      </c>
      <c r="C12" s="39" t="n">
        <f aca="false">Depreciation!C7</f>
        <v>38617</v>
      </c>
      <c r="D12" s="39" t="n">
        <f aca="false">Depreciation!D7</f>
        <v>39636</v>
      </c>
      <c r="E12" s="39" t="n">
        <f aca="false">Depreciation!E7</f>
        <v>41717</v>
      </c>
      <c r="F12" s="39" t="n">
        <f aca="false">Depreciation!F7</f>
        <v>39793</v>
      </c>
      <c r="G12" s="39" t="n">
        <f aca="false">Depreciation!G7</f>
        <v>37868</v>
      </c>
    </row>
    <row r="13" customFormat="false" ht="15" hidden="false" customHeight="true" outlineLevel="0" collapsed="false">
      <c r="A13" s="45" t="s">
        <v>171</v>
      </c>
      <c r="B13" s="20" t="s">
        <v>94</v>
      </c>
      <c r="C13" s="21" t="n">
        <v>120805</v>
      </c>
      <c r="D13" s="21" t="n">
        <v>100544</v>
      </c>
      <c r="E13" s="21" t="n">
        <v>91479</v>
      </c>
      <c r="F13" s="21" t="n">
        <v>88000</v>
      </c>
      <c r="G13" s="21" t="n">
        <v>84000</v>
      </c>
    </row>
    <row r="14" customFormat="false" ht="15" hidden="false" customHeight="true" outlineLevel="0" collapsed="false">
      <c r="A14" s="45" t="s">
        <v>172</v>
      </c>
      <c r="B14" s="20" t="s">
        <v>94</v>
      </c>
      <c r="C14" s="21" t="n">
        <v>54428</v>
      </c>
      <c r="D14" s="21" t="n">
        <v>64758</v>
      </c>
      <c r="E14" s="21" t="n">
        <v>74834</v>
      </c>
      <c r="F14" s="21" t="n">
        <v>76000</v>
      </c>
      <c r="G14" s="21" t="n">
        <v>78000</v>
      </c>
    </row>
    <row r="15" customFormat="false" ht="15" hidden="false" customHeight="true" outlineLevel="0" collapsed="false">
      <c r="A15" s="46" t="s">
        <v>173</v>
      </c>
      <c r="B15" s="43" t="s">
        <v>94</v>
      </c>
      <c r="C15" s="44" t="n">
        <f aca="false">SUM(C12:C14)</f>
        <v>213850</v>
      </c>
      <c r="D15" s="44" t="n">
        <f aca="false">SUM(D12:D14)</f>
        <v>204938</v>
      </c>
      <c r="E15" s="44" t="n">
        <f aca="false">SUM(E12:E14)</f>
        <v>208030</v>
      </c>
      <c r="F15" s="44" t="n">
        <f aca="false">SUM(F12:F14)</f>
        <v>203793</v>
      </c>
      <c r="G15" s="44" t="n">
        <f aca="false">SUM(G12:G14)</f>
        <v>199868</v>
      </c>
    </row>
    <row r="16" customFormat="false" ht="15" hidden="false" customHeight="true" outlineLevel="0" collapsed="false">
      <c r="A16" s="46" t="s">
        <v>174</v>
      </c>
      <c r="B16" s="43" t="s">
        <v>94</v>
      </c>
      <c r="C16" s="44" t="n">
        <f aca="false">C10+C15</f>
        <v>316366</v>
      </c>
      <c r="D16" s="44" t="n">
        <f aca="false">D10+D15</f>
        <v>317045</v>
      </c>
      <c r="E16" s="44" t="n">
        <f aca="false">E10+E15</f>
        <v>328248</v>
      </c>
      <c r="F16" s="44" t="n">
        <f aca="false">F10+F15</f>
        <v>367109.76885616</v>
      </c>
      <c r="G16" s="44" t="n">
        <f aca="false">G10+G15</f>
        <v>456712.255701744</v>
      </c>
    </row>
    <row r="17" customFormat="false" ht="15" hidden="false" customHeight="true" outlineLevel="0" collapsed="false">
      <c r="A17" s="35" t="s">
        <v>175</v>
      </c>
      <c r="B17" s="36"/>
      <c r="C17" s="36"/>
      <c r="D17" s="36"/>
      <c r="E17" s="36"/>
      <c r="F17" s="36"/>
      <c r="G17" s="36"/>
      <c r="H17" s="36"/>
    </row>
    <row r="18" customFormat="false" ht="15" hidden="false" customHeight="true" outlineLevel="0" collapsed="false">
      <c r="A18" s="50" t="s">
        <v>176</v>
      </c>
      <c r="B18" s="51"/>
      <c r="C18" s="51"/>
      <c r="D18" s="51"/>
      <c r="E18" s="51"/>
      <c r="F18" s="51"/>
      <c r="G18" s="51"/>
      <c r="H18" s="51"/>
    </row>
    <row r="19" customFormat="false" ht="15" hidden="false" customHeight="true" outlineLevel="0" collapsed="false">
      <c r="A19" s="45" t="s">
        <v>177</v>
      </c>
      <c r="B19" s="20" t="s">
        <v>94</v>
      </c>
      <c r="C19" s="39" t="n">
        <f aca="false">'Working Capital'!C8</f>
        <v>64307</v>
      </c>
      <c r="D19" s="39" t="n">
        <f aca="false">'Working Capital'!D8</f>
        <v>62776</v>
      </c>
      <c r="E19" s="39" t="n">
        <f aca="false">'Working Capital'!E8</f>
        <v>69152</v>
      </c>
      <c r="F19" s="39" t="n">
        <f aca="false">'Working Capital'!F8</f>
        <v>71410</v>
      </c>
      <c r="G19" s="39" t="n">
        <f aca="false">'Working Capital'!G8</f>
        <v>73639</v>
      </c>
    </row>
    <row r="20" customFormat="false" ht="15" hidden="false" customHeight="true" outlineLevel="0" collapsed="false">
      <c r="A20" s="45" t="s">
        <v>178</v>
      </c>
      <c r="B20" s="20" t="s">
        <v>94</v>
      </c>
      <c r="C20" s="21" t="n">
        <v>21110</v>
      </c>
      <c r="D20" s="21" t="n">
        <v>15807</v>
      </c>
      <c r="E20" s="21" t="n">
        <v>20879</v>
      </c>
      <c r="F20" s="21" t="n">
        <v>18000</v>
      </c>
      <c r="G20" s="21" t="n">
        <v>16000</v>
      </c>
    </row>
    <row r="21" customFormat="false" ht="15" hidden="false" customHeight="true" outlineLevel="0" collapsed="false">
      <c r="A21" s="45" t="s">
        <v>179</v>
      </c>
      <c r="B21" s="20" t="s">
        <v>94</v>
      </c>
      <c r="C21" s="21" t="n">
        <v>7912</v>
      </c>
      <c r="D21" s="21" t="n">
        <v>8061</v>
      </c>
      <c r="E21" s="21" t="n">
        <v>8249</v>
      </c>
      <c r="F21" s="21" t="n">
        <v>8500</v>
      </c>
      <c r="G21" s="21" t="n">
        <v>8700</v>
      </c>
    </row>
    <row r="22" customFormat="false" ht="15" hidden="false" customHeight="true" outlineLevel="0" collapsed="false">
      <c r="A22" s="45" t="s">
        <v>180</v>
      </c>
      <c r="B22" s="20" t="s">
        <v>94</v>
      </c>
      <c r="C22" s="21" t="n">
        <v>60845</v>
      </c>
      <c r="D22" s="21" t="n">
        <v>58563</v>
      </c>
      <c r="E22" s="21" t="n">
        <v>78304</v>
      </c>
      <c r="F22" s="21" t="n">
        <v>75000</v>
      </c>
      <c r="G22" s="21" t="n">
        <v>72000</v>
      </c>
    </row>
    <row r="23" customFormat="false" ht="15" hidden="false" customHeight="true" outlineLevel="0" collapsed="false">
      <c r="A23" s="46" t="s">
        <v>181</v>
      </c>
      <c r="B23" s="43" t="s">
        <v>94</v>
      </c>
      <c r="C23" s="44" t="n">
        <f aca="false">SUM(C19:C22)</f>
        <v>154174</v>
      </c>
      <c r="D23" s="44" t="n">
        <f aca="false">SUM(D19:D22)</f>
        <v>145207</v>
      </c>
      <c r="E23" s="44" t="n">
        <f aca="false">SUM(E19:E22)</f>
        <v>176584</v>
      </c>
      <c r="F23" s="44" t="n">
        <f aca="false">SUM(F19:F22)</f>
        <v>172910</v>
      </c>
      <c r="G23" s="44" t="n">
        <f aca="false">SUM(G19:G22)</f>
        <v>170339</v>
      </c>
    </row>
    <row r="24" customFormat="false" ht="15" hidden="false" customHeight="true" outlineLevel="0" collapsed="false">
      <c r="A24" s="50" t="s">
        <v>182</v>
      </c>
      <c r="B24" s="51"/>
      <c r="C24" s="51"/>
      <c r="D24" s="51"/>
      <c r="E24" s="51"/>
      <c r="F24" s="51"/>
      <c r="G24" s="51"/>
      <c r="H24" s="51"/>
    </row>
    <row r="25" customFormat="false" ht="15" hidden="false" customHeight="true" outlineLevel="0" collapsed="false">
      <c r="A25" s="45" t="s">
        <v>183</v>
      </c>
      <c r="B25" s="20" t="s">
        <v>94</v>
      </c>
      <c r="C25" s="21" t="n">
        <v>98959</v>
      </c>
      <c r="D25" s="21" t="n">
        <v>95281</v>
      </c>
      <c r="E25" s="21" t="n">
        <v>85750</v>
      </c>
      <c r="F25" s="21" t="n">
        <v>82000</v>
      </c>
      <c r="G25" s="21" t="n">
        <v>79000</v>
      </c>
    </row>
    <row r="26" customFormat="false" ht="15" hidden="false" customHeight="true" outlineLevel="0" collapsed="false">
      <c r="A26" s="45" t="s">
        <v>184</v>
      </c>
      <c r="B26" s="20" t="s">
        <v>94</v>
      </c>
      <c r="C26" s="21" t="n">
        <v>49142</v>
      </c>
      <c r="D26" s="21" t="n">
        <v>49848</v>
      </c>
      <c r="E26" s="21" t="n">
        <v>45888</v>
      </c>
      <c r="F26" s="21" t="n">
        <v>44000</v>
      </c>
      <c r="G26" s="21" t="n">
        <v>43000</v>
      </c>
    </row>
    <row r="27" customFormat="false" ht="15" hidden="false" customHeight="true" outlineLevel="0" collapsed="false">
      <c r="A27" s="46" t="s">
        <v>185</v>
      </c>
      <c r="B27" s="43" t="s">
        <v>94</v>
      </c>
      <c r="C27" s="44" t="n">
        <f aca="false">C25+C26</f>
        <v>148101</v>
      </c>
      <c r="D27" s="44" t="n">
        <f aca="false">D25+D26</f>
        <v>145129</v>
      </c>
      <c r="E27" s="44" t="n">
        <f aca="false">E25+E26</f>
        <v>131638</v>
      </c>
      <c r="F27" s="44" t="n">
        <f aca="false">F25+F26</f>
        <v>126000</v>
      </c>
      <c r="G27" s="44" t="n">
        <f aca="false">G25+G26</f>
        <v>122000</v>
      </c>
    </row>
    <row r="28" customFormat="false" ht="15" hidden="false" customHeight="true" outlineLevel="0" collapsed="false">
      <c r="A28" s="46" t="s">
        <v>186</v>
      </c>
      <c r="B28" s="43" t="s">
        <v>94</v>
      </c>
      <c r="C28" s="44" t="n">
        <f aca="false">C23+C27</f>
        <v>302275</v>
      </c>
      <c r="D28" s="44" t="n">
        <f aca="false">D23+D27</f>
        <v>290336</v>
      </c>
      <c r="E28" s="44" t="n">
        <f aca="false">E23+E27</f>
        <v>308222</v>
      </c>
      <c r="F28" s="44" t="n">
        <f aca="false">F23+F27</f>
        <v>298910</v>
      </c>
      <c r="G28" s="44" t="n">
        <f aca="false">G23+G27</f>
        <v>292339</v>
      </c>
    </row>
    <row r="29" customFormat="false" ht="15" hidden="false" customHeight="true" outlineLevel="0" collapsed="false">
      <c r="A29" s="50" t="s">
        <v>187</v>
      </c>
      <c r="B29" s="51"/>
      <c r="C29" s="51"/>
      <c r="D29" s="51"/>
      <c r="E29" s="51"/>
      <c r="F29" s="51"/>
      <c r="G29" s="51"/>
      <c r="H29" s="51"/>
    </row>
    <row r="30" customFormat="false" ht="15" hidden="false" customHeight="true" outlineLevel="0" collapsed="false">
      <c r="A30" s="45" t="s">
        <v>188</v>
      </c>
      <c r="B30" s="20" t="s">
        <v>94</v>
      </c>
      <c r="C30" s="21" t="n">
        <v>64849</v>
      </c>
      <c r="D30" s="21" t="n">
        <v>73812</v>
      </c>
      <c r="E30" s="21" t="n">
        <v>83276</v>
      </c>
      <c r="F30" s="21" t="n">
        <v>88000</v>
      </c>
      <c r="G30" s="21" t="n">
        <v>92000</v>
      </c>
    </row>
    <row r="31" customFormat="false" ht="15" hidden="false" customHeight="true" outlineLevel="0" collapsed="false">
      <c r="A31" s="23" t="s">
        <v>189</v>
      </c>
      <c r="B31" s="20" t="s">
        <v>94</v>
      </c>
      <c r="C31" s="21" t="n">
        <v>-3068</v>
      </c>
      <c r="D31" s="21" t="n">
        <v>-214</v>
      </c>
      <c r="E31" s="21" t="n">
        <v>-19154</v>
      </c>
      <c r="F31" s="26" t="n">
        <f aca="false">E31+IS!F19-Assumptions!F27-Assumptions!F28</f>
        <v>-7665.23114384001</v>
      </c>
      <c r="G31" s="26" t="n">
        <f aca="false">F31+IS!G19-Assumptions!G27-Assumptions!G28</f>
        <v>13832.4868455839</v>
      </c>
    </row>
    <row r="32" customFormat="false" ht="15" hidden="false" customHeight="true" outlineLevel="0" collapsed="false">
      <c r="A32" s="45" t="s">
        <v>190</v>
      </c>
      <c r="B32" s="20" t="s">
        <v>94</v>
      </c>
      <c r="C32" s="21" t="n">
        <v>-11109</v>
      </c>
      <c r="D32" s="21" t="n">
        <v>-11452</v>
      </c>
      <c r="E32" s="21" t="n">
        <v>-7172</v>
      </c>
      <c r="F32" s="21" t="n">
        <v>-7000</v>
      </c>
      <c r="G32" s="21" t="n">
        <v>-6800</v>
      </c>
    </row>
    <row r="33" customFormat="false" ht="15" hidden="false" customHeight="true" outlineLevel="0" collapsed="false">
      <c r="A33" s="46" t="s">
        <v>191</v>
      </c>
      <c r="B33" s="43" t="s">
        <v>94</v>
      </c>
      <c r="C33" s="44" t="n">
        <f aca="false">C30+C31+C32</f>
        <v>50672</v>
      </c>
      <c r="D33" s="44" t="n">
        <f aca="false">D30+D31+D32</f>
        <v>62146</v>
      </c>
      <c r="E33" s="44" t="n">
        <f aca="false">E30+E31+E32</f>
        <v>56950</v>
      </c>
      <c r="F33" s="44" t="n">
        <f aca="false">F30+F31+F32</f>
        <v>73334.76885616</v>
      </c>
      <c r="G33" s="44" t="n">
        <f aca="false">G30+G31+G32</f>
        <v>99032.486845584</v>
      </c>
    </row>
    <row r="34" customFormat="false" ht="15" hidden="false" customHeight="true" outlineLevel="0" collapsed="false">
      <c r="A34" s="46" t="s">
        <v>192</v>
      </c>
      <c r="B34" s="43" t="s">
        <v>94</v>
      </c>
      <c r="C34" s="44" t="n">
        <f aca="false">C28+C33</f>
        <v>352947</v>
      </c>
      <c r="D34" s="44" t="n">
        <f aca="false">D28+D33</f>
        <v>352482</v>
      </c>
      <c r="E34" s="44" t="n">
        <f aca="false">E28+E33</f>
        <v>365172</v>
      </c>
      <c r="F34" s="44" t="n">
        <f aca="false">F28+F33</f>
        <v>372244.76885616</v>
      </c>
      <c r="G34" s="44" t="n">
        <f aca="false">G28+G33</f>
        <v>391371.486845584</v>
      </c>
    </row>
    <row r="35" customFormat="false" ht="15" hidden="false" customHeight="true" outlineLevel="0" collapsed="false">
      <c r="A35" s="19" t="s">
        <v>193</v>
      </c>
      <c r="B35" s="20" t="s">
        <v>194</v>
      </c>
      <c r="C35" s="52" t="n">
        <f aca="false">C16-C34</f>
        <v>-36581</v>
      </c>
      <c r="D35" s="52" t="n">
        <f aca="false">D16-D34</f>
        <v>-35437</v>
      </c>
      <c r="E35" s="52" t="n">
        <f aca="false">E16-E34</f>
        <v>-36924</v>
      </c>
      <c r="F35" s="52" t="n">
        <f aca="false">F16-F34</f>
        <v>-5135</v>
      </c>
      <c r="G35" s="52" t="n">
        <f aca="false">G16-G34</f>
        <v>65340.76885616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  <col collapsed="false" customWidth="true" hidden="false" outlineLevel="0" max="7" min="3" style="1" width="14"/>
  </cols>
  <sheetData>
    <row r="1" customFormat="false" ht="24.75" hidden="false" customHeight="true" outlineLevel="0" collapsed="false">
      <c r="A1" s="28" t="s">
        <v>195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15" t="s">
        <v>196</v>
      </c>
      <c r="B2" s="15" t="s">
        <v>46</v>
      </c>
      <c r="C2" s="16" t="s">
        <v>48</v>
      </c>
      <c r="D2" s="16" t="s">
        <v>49</v>
      </c>
      <c r="E2" s="16" t="s">
        <v>50</v>
      </c>
      <c r="F2" s="16" t="s">
        <v>51</v>
      </c>
      <c r="G2" s="16" t="s">
        <v>52</v>
      </c>
    </row>
    <row r="3" customFormat="false" ht="15" hidden="false" customHeight="true" outlineLevel="0" collapsed="false">
      <c r="A3" s="35" t="s">
        <v>197</v>
      </c>
      <c r="B3" s="36"/>
      <c r="C3" s="36"/>
      <c r="D3" s="36"/>
      <c r="E3" s="36"/>
      <c r="F3" s="36"/>
      <c r="G3" s="36"/>
      <c r="H3" s="36"/>
    </row>
    <row r="4" customFormat="false" ht="15" hidden="false" customHeight="true" outlineLevel="0" collapsed="false">
      <c r="A4" s="23" t="s">
        <v>198</v>
      </c>
      <c r="B4" s="20" t="s">
        <v>94</v>
      </c>
      <c r="C4" s="39" t="n">
        <f aca="false">IS!C19</f>
        <v>99812.4631056</v>
      </c>
      <c r="D4" s="39" t="n">
        <f aca="false">IS!D19</f>
        <v>97012.190711</v>
      </c>
      <c r="E4" s="39" t="n">
        <f aca="false">IS!E19</f>
        <v>94245.1275315</v>
      </c>
      <c r="F4" s="39" t="n">
        <f aca="false">IS!F19</f>
        <v>111988.76885616</v>
      </c>
      <c r="G4" s="39" t="n">
        <f aca="false">IS!G19</f>
        <v>117297.717989424</v>
      </c>
    </row>
    <row r="5" customFormat="false" ht="15" hidden="false" customHeight="true" outlineLevel="0" collapsed="false">
      <c r="A5" s="23" t="s">
        <v>199</v>
      </c>
      <c r="B5" s="20" t="s">
        <v>94</v>
      </c>
      <c r="C5" s="39" t="n">
        <f aca="false">Assumptions!C19</f>
        <v>11104</v>
      </c>
      <c r="D5" s="39" t="n">
        <f aca="false">Assumptions!D19</f>
        <v>11519</v>
      </c>
      <c r="E5" s="39" t="n">
        <f aca="false">Assumptions!E19</f>
        <v>11445</v>
      </c>
      <c r="F5" s="39" t="n">
        <f aca="false">Assumptions!F19</f>
        <v>11700</v>
      </c>
      <c r="G5" s="39" t="n">
        <f aca="false">Assumptions!G19</f>
        <v>12000</v>
      </c>
    </row>
    <row r="6" customFormat="false" ht="15" hidden="false" customHeight="true" outlineLevel="0" collapsed="false">
      <c r="A6" s="23" t="s">
        <v>200</v>
      </c>
      <c r="B6" s="20" t="s">
        <v>94</v>
      </c>
      <c r="C6" s="33" t="s">
        <v>101</v>
      </c>
      <c r="D6" s="39" t="n">
        <f aca="false">'Working Capital'!D10</f>
        <v>-4399</v>
      </c>
      <c r="E6" s="39" t="n">
        <f aca="false">'Working Capital'!E10</f>
        <v>1473</v>
      </c>
      <c r="F6" s="39" t="n">
        <f aca="false">'Working Capital'!F10</f>
        <v>-223</v>
      </c>
      <c r="G6" s="39" t="n">
        <f aca="false">'Working Capital'!G10</f>
        <v>459</v>
      </c>
    </row>
    <row r="7" customFormat="false" ht="15" hidden="false" customHeight="true" outlineLevel="0" collapsed="false">
      <c r="A7" s="23" t="s">
        <v>201</v>
      </c>
      <c r="B7" s="20" t="s">
        <v>94</v>
      </c>
      <c r="C7" s="21" t="n">
        <v>2136</v>
      </c>
      <c r="D7" s="21" t="n">
        <v>62</v>
      </c>
      <c r="E7" s="21" t="n">
        <v>7339</v>
      </c>
      <c r="F7" s="21" t="n">
        <v>3000</v>
      </c>
      <c r="G7" s="21" t="n">
        <v>3000</v>
      </c>
    </row>
    <row r="8" customFormat="false" ht="15" hidden="false" customHeight="true" outlineLevel="0" collapsed="false">
      <c r="A8" s="46" t="s">
        <v>202</v>
      </c>
      <c r="B8" s="43" t="s">
        <v>94</v>
      </c>
      <c r="C8" s="44" t="n">
        <f aca="false">SUM(C4:C7)</f>
        <v>113052.4631056</v>
      </c>
      <c r="D8" s="44" t="n">
        <f aca="false">SUM(D4:D7)</f>
        <v>104194.190711</v>
      </c>
      <c r="E8" s="44" t="n">
        <f aca="false">SUM(E4:E7)</f>
        <v>114502.1275315</v>
      </c>
      <c r="F8" s="44" t="n">
        <f aca="false">SUM(F4:F7)</f>
        <v>126465.76885616</v>
      </c>
      <c r="G8" s="44" t="n">
        <f aca="false">SUM(G4:G7)</f>
        <v>132756.717989424</v>
      </c>
    </row>
    <row r="9" customFormat="false" ht="15" hidden="false" customHeight="true" outlineLevel="0" collapsed="false">
      <c r="A9" s="35" t="s">
        <v>203</v>
      </c>
      <c r="B9" s="36"/>
      <c r="C9" s="36"/>
      <c r="D9" s="36"/>
      <c r="E9" s="36"/>
      <c r="F9" s="36"/>
      <c r="G9" s="36"/>
      <c r="H9" s="36"/>
    </row>
    <row r="10" customFormat="false" ht="15" hidden="false" customHeight="true" outlineLevel="0" collapsed="false">
      <c r="A10" s="23" t="s">
        <v>204</v>
      </c>
      <c r="B10" s="20" t="s">
        <v>94</v>
      </c>
      <c r="C10" s="39" t="n">
        <f aca="false">-Assumptions!C18</f>
        <v>-10708</v>
      </c>
      <c r="D10" s="39" t="n">
        <f aca="false">-Assumptions!D18</f>
        <v>-10959</v>
      </c>
      <c r="E10" s="39" t="n">
        <f aca="false">-Assumptions!E18</f>
        <v>-9447</v>
      </c>
      <c r="F10" s="39" t="n">
        <f aca="false">-Assumptions!F18</f>
        <v>-9776</v>
      </c>
      <c r="G10" s="39" t="n">
        <f aca="false">-Assumptions!G18</f>
        <v>-10075</v>
      </c>
    </row>
    <row r="11" customFormat="false" ht="15" hidden="false" customHeight="true" outlineLevel="0" collapsed="false">
      <c r="A11" s="23" t="s">
        <v>205</v>
      </c>
      <c r="B11" s="20" t="s">
        <v>94</v>
      </c>
      <c r="C11" s="21" t="n">
        <v>-11646</v>
      </c>
      <c r="D11" s="21" t="n">
        <v>7164</v>
      </c>
      <c r="E11" s="21" t="n">
        <v>-6413</v>
      </c>
      <c r="F11" s="21" t="n">
        <v>-3000</v>
      </c>
      <c r="G11" s="21" t="n">
        <v>-3000</v>
      </c>
    </row>
    <row r="12" customFormat="false" ht="15" hidden="false" customHeight="true" outlineLevel="0" collapsed="false">
      <c r="A12" s="46" t="s">
        <v>206</v>
      </c>
      <c r="B12" s="43" t="s">
        <v>94</v>
      </c>
      <c r="C12" s="44" t="n">
        <f aca="false">C10+C11</f>
        <v>-22354</v>
      </c>
      <c r="D12" s="44" t="n">
        <f aca="false">D10+D11</f>
        <v>-3795</v>
      </c>
      <c r="E12" s="44" t="n">
        <f aca="false">E10+E11</f>
        <v>-15860</v>
      </c>
      <c r="F12" s="44" t="n">
        <f aca="false">F10+F11</f>
        <v>-12776</v>
      </c>
      <c r="G12" s="44" t="n">
        <f aca="false">G10+G11</f>
        <v>-13075</v>
      </c>
    </row>
    <row r="13" customFormat="false" ht="15" hidden="false" customHeight="true" outlineLevel="0" collapsed="false">
      <c r="A13" s="35" t="s">
        <v>207</v>
      </c>
      <c r="B13" s="36"/>
      <c r="C13" s="36"/>
      <c r="D13" s="36"/>
      <c r="E13" s="36"/>
      <c r="F13" s="36"/>
      <c r="G13" s="36"/>
      <c r="H13" s="36"/>
    </row>
    <row r="14" customFormat="false" ht="15" hidden="false" customHeight="true" outlineLevel="0" collapsed="false">
      <c r="A14" s="23" t="s">
        <v>208</v>
      </c>
      <c r="B14" s="20" t="s">
        <v>94</v>
      </c>
      <c r="C14" s="39" t="n">
        <f aca="false">Assumptions!C26</f>
        <v>150</v>
      </c>
      <c r="D14" s="39" t="n">
        <f aca="false">Assumptions!D26</f>
        <v>-5923</v>
      </c>
      <c r="E14" s="39" t="n">
        <f aca="false">Assumptions!E26</f>
        <v>318</v>
      </c>
      <c r="F14" s="39" t="n">
        <f aca="false">Assumptions!F26</f>
        <v>-3000</v>
      </c>
      <c r="G14" s="39" t="n">
        <f aca="false">Assumptions!G26</f>
        <v>-3000</v>
      </c>
    </row>
    <row r="15" customFormat="false" ht="15" hidden="false" customHeight="true" outlineLevel="0" collapsed="false">
      <c r="A15" s="23" t="s">
        <v>209</v>
      </c>
      <c r="B15" s="20" t="s">
        <v>94</v>
      </c>
      <c r="C15" s="39" t="n">
        <f aca="false">-Assumptions!C27</f>
        <v>-14841</v>
      </c>
      <c r="D15" s="39" t="n">
        <f aca="false">-Assumptions!D27</f>
        <v>-15025</v>
      </c>
      <c r="E15" s="39" t="n">
        <f aca="false">-Assumptions!E27</f>
        <v>-15234</v>
      </c>
      <c r="F15" s="39" t="n">
        <f aca="false">-Assumptions!F27</f>
        <v>-15500</v>
      </c>
      <c r="G15" s="39" t="n">
        <f aca="false">-Assumptions!G27</f>
        <v>-15800</v>
      </c>
    </row>
    <row r="16" customFormat="false" ht="15" hidden="false" customHeight="true" outlineLevel="0" collapsed="false">
      <c r="A16" s="23" t="s">
        <v>210</v>
      </c>
      <c r="B16" s="20" t="s">
        <v>94</v>
      </c>
      <c r="C16" s="39" t="n">
        <f aca="false">-Assumptions!C28</f>
        <v>-89402</v>
      </c>
      <c r="D16" s="39" t="n">
        <f aca="false">-Assumptions!D28</f>
        <v>-77550</v>
      </c>
      <c r="E16" s="39" t="n">
        <f aca="false">-Assumptions!E28</f>
        <v>-94949</v>
      </c>
      <c r="F16" s="39" t="n">
        <f aca="false">-Assumptions!F28</f>
        <v>-85000</v>
      </c>
      <c r="G16" s="39" t="n">
        <f aca="false">-Assumptions!G28</f>
        <v>-80000</v>
      </c>
    </row>
    <row r="17" customFormat="false" ht="15" hidden="false" customHeight="true" outlineLevel="0" collapsed="false">
      <c r="A17" s="46" t="s">
        <v>211</v>
      </c>
      <c r="B17" s="43" t="s">
        <v>94</v>
      </c>
      <c r="C17" s="44" t="n">
        <f aca="false">C14+C15+C16</f>
        <v>-104093</v>
      </c>
      <c r="D17" s="44" t="n">
        <f aca="false">D14+D15+D16</f>
        <v>-98498</v>
      </c>
      <c r="E17" s="44" t="n">
        <f aca="false">E14+E15+E16</f>
        <v>-109865</v>
      </c>
      <c r="F17" s="44" t="n">
        <f aca="false">F14+F15+F16</f>
        <v>-103500</v>
      </c>
      <c r="G17" s="44" t="n">
        <f aca="false">G14+G15+G16</f>
        <v>-98800</v>
      </c>
    </row>
    <row r="18" customFormat="false" ht="15" hidden="false" customHeight="true" outlineLevel="0" collapsed="false">
      <c r="A18" s="23" t="s">
        <v>212</v>
      </c>
      <c r="B18" s="20" t="s">
        <v>94</v>
      </c>
      <c r="C18" s="21" t="n">
        <v>0</v>
      </c>
      <c r="D18" s="21" t="n">
        <v>0</v>
      </c>
      <c r="E18" s="21" t="n">
        <v>0</v>
      </c>
      <c r="F18" s="21" t="n">
        <v>0</v>
      </c>
      <c r="G18" s="21" t="n">
        <v>0</v>
      </c>
    </row>
    <row r="19" customFormat="false" ht="15" hidden="false" customHeight="true" outlineLevel="0" collapsed="false">
      <c r="A19" s="23" t="s">
        <v>213</v>
      </c>
      <c r="B19" s="20" t="s">
        <v>94</v>
      </c>
      <c r="C19" s="21" t="n">
        <v>34940</v>
      </c>
      <c r="D19" s="21" t="n">
        <v>23646</v>
      </c>
      <c r="E19" s="21" t="n">
        <v>29965</v>
      </c>
      <c r="F19" s="39" t="n">
        <f aca="false">BS!E5</f>
        <v>29943</v>
      </c>
      <c r="G19" s="39" t="n">
        <f aca="false">BS!F5</f>
        <v>70075.76885616</v>
      </c>
    </row>
    <row r="20" customFormat="false" ht="15" hidden="false" customHeight="true" outlineLevel="0" collapsed="false">
      <c r="A20" s="46" t="s">
        <v>214</v>
      </c>
      <c r="B20" s="43" t="s">
        <v>94</v>
      </c>
      <c r="C20" s="44" t="n">
        <f aca="false">C8+C12+C17+C18</f>
        <v>-13394.5368944</v>
      </c>
      <c r="D20" s="44" t="n">
        <f aca="false">D8+D12+D17+D18</f>
        <v>1901.190711</v>
      </c>
      <c r="E20" s="44" t="n">
        <f aca="false">E8+E12+E17+E18</f>
        <v>-11222.8724685</v>
      </c>
      <c r="F20" s="44" t="n">
        <f aca="false">F8+F12+F17+F18</f>
        <v>10189.76885616</v>
      </c>
      <c r="G20" s="44" t="n">
        <f aca="false">G8+G12+G17+G18</f>
        <v>20881.717989424</v>
      </c>
    </row>
    <row r="21" customFormat="false" ht="15" hidden="false" customHeight="true" outlineLevel="0" collapsed="false">
      <c r="A21" s="47" t="s">
        <v>215</v>
      </c>
      <c r="B21" s="48" t="s">
        <v>94</v>
      </c>
      <c r="C21" s="49" t="n">
        <f aca="false">C19+C20</f>
        <v>21545.4631056</v>
      </c>
      <c r="D21" s="49" t="n">
        <f aca="false">D19+D20</f>
        <v>25547.190711</v>
      </c>
      <c r="E21" s="49" t="n">
        <f aca="false">E19+E20</f>
        <v>18742.1275315</v>
      </c>
      <c r="F21" s="49" t="n">
        <f aca="false">F19+F20</f>
        <v>40132.76885616</v>
      </c>
      <c r="G21" s="49" t="n">
        <f aca="false">G19+G20</f>
        <v>90957.486845584</v>
      </c>
    </row>
    <row r="22" customFormat="false" ht="15" hidden="false" customHeight="true" outlineLevel="0" collapsed="false">
      <c r="A22" s="23" t="s">
        <v>216</v>
      </c>
      <c r="B22" s="20" t="s">
        <v>94</v>
      </c>
      <c r="C22" s="26" t="n">
        <f aca="false">C8+C10</f>
        <v>102344.4631056</v>
      </c>
      <c r="D22" s="26" t="n">
        <f aca="false">D8+D10</f>
        <v>93235.190711</v>
      </c>
      <c r="E22" s="26" t="n">
        <f aca="false">E8+E10</f>
        <v>105055.1275315</v>
      </c>
      <c r="F22" s="26" t="n">
        <f aca="false">F8+F10</f>
        <v>116689.76885616</v>
      </c>
      <c r="G22" s="26" t="n">
        <f aca="false">G8+G10</f>
        <v>122681.717989424</v>
      </c>
    </row>
    <row r="23" customFormat="false" ht="15" hidden="false" customHeight="true" outlineLevel="0" collapsed="false">
      <c r="A23" s="23" t="s">
        <v>217</v>
      </c>
      <c r="B23" s="20" t="s">
        <v>100</v>
      </c>
      <c r="C23" s="34" t="n">
        <f aca="false">C22/IS!C3</f>
        <v>0.259541455604471</v>
      </c>
      <c r="D23" s="34" t="n">
        <f aca="false">D22/IS!D3</f>
        <v>0.243252907656183</v>
      </c>
      <c r="E23" s="34" t="n">
        <f aca="false">E22/IS!E3</f>
        <v>0.26818865348424</v>
      </c>
      <c r="F23" s="34" t="n">
        <f aca="false">F22/IS!F3</f>
        <v>0.280167512259688</v>
      </c>
      <c r="G23" s="34" t="n">
        <f aca="false">G22/IS!G3</f>
        <v>0.279139290078325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7" min="3" style="1" width="16"/>
  </cols>
  <sheetData>
    <row r="1" customFormat="false" ht="24.75" hidden="false" customHeight="true" outlineLevel="0" collapsed="false">
      <c r="A1" s="53" t="s">
        <v>218</v>
      </c>
      <c r="B1" s="54"/>
      <c r="C1" s="54"/>
      <c r="D1" s="54"/>
      <c r="E1" s="54"/>
      <c r="F1" s="54"/>
      <c r="G1" s="54"/>
    </row>
    <row r="2" customFormat="false" ht="15" hidden="false" customHeight="true" outlineLevel="0" collapsed="false">
      <c r="A2" s="55" t="s">
        <v>219</v>
      </c>
      <c r="B2" s="55" t="s">
        <v>220</v>
      </c>
      <c r="C2" s="16" t="s">
        <v>48</v>
      </c>
      <c r="D2" s="16" t="s">
        <v>49</v>
      </c>
      <c r="E2" s="16" t="s">
        <v>50</v>
      </c>
      <c r="F2" s="16" t="s">
        <v>51</v>
      </c>
      <c r="G2" s="16" t="s">
        <v>52</v>
      </c>
    </row>
    <row r="3" customFormat="false" ht="15" hidden="false" customHeight="true" outlineLevel="0" collapsed="false">
      <c r="A3" s="56" t="s">
        <v>221</v>
      </c>
      <c r="B3" s="56"/>
      <c r="C3" s="56"/>
      <c r="D3" s="56"/>
      <c r="E3" s="56"/>
      <c r="F3" s="56"/>
      <c r="G3" s="56"/>
    </row>
    <row r="4" customFormat="false" ht="15" hidden="false" customHeight="true" outlineLevel="0" collapsed="false">
      <c r="A4" s="57" t="s">
        <v>222</v>
      </c>
      <c r="B4" s="58"/>
      <c r="C4" s="58"/>
      <c r="D4" s="58"/>
      <c r="E4" s="58"/>
      <c r="F4" s="58"/>
      <c r="G4" s="58"/>
      <c r="H4" s="58"/>
    </row>
    <row r="5" customFormat="false" ht="15" hidden="false" customHeight="true" outlineLevel="0" collapsed="false">
      <c r="A5" s="23" t="s">
        <v>223</v>
      </c>
      <c r="B5" s="20" t="s">
        <v>94</v>
      </c>
      <c r="C5" s="39" t="n">
        <f aca="false">BS!C16</f>
        <v>316366</v>
      </c>
      <c r="D5" s="39" t="n">
        <f aca="false">BS!D16</f>
        <v>317045</v>
      </c>
      <c r="E5" s="39" t="n">
        <f aca="false">BS!E16</f>
        <v>328248</v>
      </c>
      <c r="F5" s="39" t="n">
        <f aca="false">BS!F16</f>
        <v>367109.76885616</v>
      </c>
      <c r="G5" s="39" t="n">
        <f aca="false">BS!G16</f>
        <v>456712.255701744</v>
      </c>
    </row>
    <row r="6" customFormat="false" ht="15" hidden="false" customHeight="true" outlineLevel="0" collapsed="false">
      <c r="A6" s="23" t="s">
        <v>224</v>
      </c>
      <c r="B6" s="20" t="s">
        <v>94</v>
      </c>
      <c r="C6" s="39" t="n">
        <f aca="false">BS!C34</f>
        <v>352947</v>
      </c>
      <c r="D6" s="39" t="n">
        <f aca="false">BS!D34</f>
        <v>352482</v>
      </c>
      <c r="E6" s="39" t="n">
        <f aca="false">BS!E34</f>
        <v>365172</v>
      </c>
      <c r="F6" s="39" t="n">
        <f aca="false">BS!F34</f>
        <v>372244.76885616</v>
      </c>
      <c r="G6" s="39" t="n">
        <f aca="false">BS!G34</f>
        <v>391371.486845584</v>
      </c>
    </row>
    <row r="7" customFormat="false" ht="15" hidden="false" customHeight="true" outlineLevel="0" collapsed="false">
      <c r="A7" s="19" t="s">
        <v>225</v>
      </c>
      <c r="B7" s="20" t="s">
        <v>194</v>
      </c>
      <c r="C7" s="52" t="n">
        <f aca="false">C5-C6</f>
        <v>-36581</v>
      </c>
      <c r="D7" s="52" t="n">
        <f aca="false">D5-D6</f>
        <v>-35437</v>
      </c>
      <c r="E7" s="52" t="n">
        <f aca="false">E5-E6</f>
        <v>-36924</v>
      </c>
      <c r="F7" s="52" t="n">
        <f aca="false">F5-F6</f>
        <v>-5135</v>
      </c>
      <c r="G7" s="52" t="n">
        <f aca="false">G5-G6</f>
        <v>65340.76885616</v>
      </c>
    </row>
    <row r="8" customFormat="false" ht="15" hidden="false" customHeight="true" outlineLevel="0" collapsed="false">
      <c r="A8" s="19" t="s">
        <v>226</v>
      </c>
      <c r="B8" s="20" t="s">
        <v>227</v>
      </c>
      <c r="C8" s="59" t="str">
        <f aca="false">IF(ABS(C7)&lt;0.01,"✅  OK","❌  ERROR — BS does not balance")</f>
        <v>❌  ERROR — BS does not balance</v>
      </c>
      <c r="D8" s="59" t="str">
        <f aca="false">IF(ABS(D7)&lt;0.01,"✅  OK","❌  ERROR — BS does not balance")</f>
        <v>❌  ERROR — BS does not balance</v>
      </c>
      <c r="E8" s="59" t="str">
        <f aca="false">IF(ABS(E7)&lt;0.01,"✅  OK","❌  ERROR — BS does not balance")</f>
        <v>❌  ERROR — BS does not balance</v>
      </c>
      <c r="F8" s="59" t="str">
        <f aca="false">IF(ABS(F7)&lt;0.01,"✅  OK","❌  ERROR — BS does not balance")</f>
        <v>❌  ERROR — BS does not balance</v>
      </c>
      <c r="G8" s="59" t="str">
        <f aca="false">IF(ABS(G7)&lt;0.01,"✅  OK","❌  ERROR — BS does not balance")</f>
        <v>❌  ERROR — BS does not balance</v>
      </c>
    </row>
    <row r="9" customFormat="false" ht="15" hidden="false" customHeight="true" outlineLevel="0" collapsed="false">
      <c r="A9" s="57" t="s">
        <v>228</v>
      </c>
      <c r="B9" s="58"/>
      <c r="C9" s="58"/>
      <c r="D9" s="58"/>
      <c r="E9" s="58"/>
      <c r="F9" s="58"/>
      <c r="G9" s="58"/>
      <c r="H9" s="58"/>
    </row>
    <row r="10" customFormat="false" ht="15" hidden="false" customHeight="true" outlineLevel="0" collapsed="false">
      <c r="A10" s="23" t="s">
        <v>229</v>
      </c>
      <c r="B10" s="20" t="s">
        <v>94</v>
      </c>
      <c r="C10" s="39" t="n">
        <f aca="false">CF!C21</f>
        <v>21545.4631056</v>
      </c>
      <c r="D10" s="39" t="n">
        <f aca="false">CF!D21</f>
        <v>25547.190711</v>
      </c>
      <c r="E10" s="39" t="n">
        <f aca="false">CF!E21</f>
        <v>18742.1275315</v>
      </c>
      <c r="F10" s="39" t="n">
        <f aca="false">CF!F21</f>
        <v>40132.76885616</v>
      </c>
      <c r="G10" s="39" t="n">
        <f aca="false">CF!G21</f>
        <v>90957.486845584</v>
      </c>
    </row>
    <row r="11" customFormat="false" ht="15" hidden="false" customHeight="true" outlineLevel="0" collapsed="false">
      <c r="A11" s="23" t="s">
        <v>230</v>
      </c>
      <c r="B11" s="20" t="s">
        <v>94</v>
      </c>
      <c r="C11" s="39" t="n">
        <f aca="false">BS!C5</f>
        <v>23646</v>
      </c>
      <c r="D11" s="39" t="n">
        <f aca="false">BS!D5</f>
        <v>29965</v>
      </c>
      <c r="E11" s="39" t="n">
        <f aca="false">BS!E5</f>
        <v>29943</v>
      </c>
      <c r="F11" s="39" t="n">
        <f aca="false">BS!F5</f>
        <v>70075.76885616</v>
      </c>
      <c r="G11" s="39" t="n">
        <f aca="false">BS!G5</f>
        <v>161033.255701744</v>
      </c>
    </row>
    <row r="12" customFormat="false" ht="15" hidden="false" customHeight="true" outlineLevel="0" collapsed="false">
      <c r="A12" s="19" t="s">
        <v>225</v>
      </c>
      <c r="B12" s="20" t="s">
        <v>194</v>
      </c>
      <c r="C12" s="52" t="n">
        <f aca="false">C10-C11</f>
        <v>-2100.53689439999</v>
      </c>
      <c r="D12" s="52" t="n">
        <f aca="false">D10-D11</f>
        <v>-4417.809289</v>
      </c>
      <c r="E12" s="52" t="n">
        <f aca="false">E10-E11</f>
        <v>-11200.8724685</v>
      </c>
      <c r="F12" s="52" t="n">
        <f aca="false">F10-F11</f>
        <v>-29943</v>
      </c>
      <c r="G12" s="52" t="n">
        <f aca="false">G10-G11</f>
        <v>-70075.76885616</v>
      </c>
    </row>
    <row r="13" customFormat="false" ht="15" hidden="false" customHeight="true" outlineLevel="0" collapsed="false">
      <c r="A13" s="19" t="s">
        <v>231</v>
      </c>
      <c r="B13" s="20" t="s">
        <v>227</v>
      </c>
      <c r="C13" s="59" t="str">
        <f aca="false">IF(ABS(C12)&lt;1,"✅  OK","❌  ERROR — Cash does not reconcile")</f>
        <v>❌  ERROR — Cash does not reconcile</v>
      </c>
      <c r="D13" s="59" t="str">
        <f aca="false">IF(ABS(D12)&lt;1,"✅  OK","❌  ERROR — Cash does not reconcile")</f>
        <v>❌  ERROR — Cash does not reconcile</v>
      </c>
      <c r="E13" s="59" t="str">
        <f aca="false">IF(ABS(E12)&lt;1,"✅  OK","❌  ERROR — Cash does not reconcile")</f>
        <v>❌  ERROR — Cash does not reconcile</v>
      </c>
      <c r="F13" s="59" t="str">
        <f aca="false">IF(ABS(F12)&lt;1,"✅  OK","❌  ERROR — Cash does not reconcile")</f>
        <v>❌  ERROR — Cash does not reconcile</v>
      </c>
      <c r="G13" s="59" t="str">
        <f aca="false">IF(ABS(G12)&lt;1,"✅  OK","❌  ERROR — Cash does not reconcile")</f>
        <v>❌  ERROR — Cash does not reconcile</v>
      </c>
    </row>
    <row r="14" customFormat="false" ht="15" hidden="false" customHeight="true" outlineLevel="0" collapsed="false">
      <c r="A14" s="57" t="s">
        <v>232</v>
      </c>
      <c r="B14" s="58"/>
      <c r="C14" s="58"/>
      <c r="D14" s="58"/>
      <c r="E14" s="58"/>
      <c r="F14" s="58"/>
      <c r="G14" s="58"/>
      <c r="H14" s="58"/>
    </row>
    <row r="15" customFormat="false" ht="15" hidden="false" customHeight="true" outlineLevel="0" collapsed="false">
      <c r="A15" s="23" t="s">
        <v>233</v>
      </c>
      <c r="B15" s="20" t="s">
        <v>100</v>
      </c>
      <c r="C15" s="40" t="n">
        <f aca="false">IS!C6</f>
        <v>0.4331</v>
      </c>
      <c r="D15" s="40" t="n">
        <f aca="false">IS!D6</f>
        <v>0.4413</v>
      </c>
      <c r="E15" s="40" t="n">
        <f aca="false">IS!E6</f>
        <v>0.463041995450844</v>
      </c>
      <c r="F15" s="40" t="n">
        <f aca="false">IS!F6</f>
        <v>0.469659274151261</v>
      </c>
      <c r="G15" s="40" t="n">
        <f aca="false">IS!G6</f>
        <v>0.468208415085324</v>
      </c>
    </row>
    <row r="16" customFormat="false" ht="15" hidden="false" customHeight="true" outlineLevel="0" collapsed="false">
      <c r="A16" s="23" t="s">
        <v>234</v>
      </c>
      <c r="B16" s="20" t="s">
        <v>100</v>
      </c>
      <c r="C16" s="40" t="n">
        <f aca="false">IS!C12</f>
        <v>0.331059298857804</v>
      </c>
      <c r="D16" s="40" t="n">
        <f aca="false">IS!D12</f>
        <v>0.3282533545534</v>
      </c>
      <c r="E16" s="40" t="n">
        <f aca="false">IS!E12</f>
        <v>0.345516652158041</v>
      </c>
      <c r="F16" s="40" t="n">
        <f aca="false">IS!F12</f>
        <v>0.348907474007203</v>
      </c>
      <c r="G16" s="40" t="n">
        <f aca="false">IS!G12</f>
        <v>0.345597589223208</v>
      </c>
    </row>
    <row r="17" customFormat="false" ht="15" hidden="false" customHeight="true" outlineLevel="0" collapsed="false">
      <c r="A17" s="23" t="s">
        <v>235</v>
      </c>
      <c r="B17" s="20" t="s">
        <v>100</v>
      </c>
      <c r="C17" s="40" t="n">
        <f aca="false">IS!C20</f>
        <v>0.253120405108438</v>
      </c>
      <c r="D17" s="40" t="n">
        <f aca="false">IS!D20</f>
        <v>0.253107193631371</v>
      </c>
      <c r="E17" s="40" t="n">
        <f aca="false">IS!E20</f>
        <v>0.240592481719132</v>
      </c>
      <c r="F17" s="40" t="n">
        <f aca="false">IS!F20</f>
        <v>0.268880597493782</v>
      </c>
      <c r="G17" s="40" t="n">
        <f aca="false">IS!G20</f>
        <v>0.266889005664218</v>
      </c>
    </row>
    <row r="18" customFormat="false" ht="15" hidden="false" customHeight="true" outlineLevel="0" collapsed="false">
      <c r="A18" s="23" t="s">
        <v>236</v>
      </c>
      <c r="B18" s="20" t="s">
        <v>100</v>
      </c>
      <c r="C18" s="40" t="n">
        <f aca="false">CF!C23</f>
        <v>0.259541455604471</v>
      </c>
      <c r="D18" s="40" t="n">
        <f aca="false">CF!D23</f>
        <v>0.243252907656183</v>
      </c>
      <c r="E18" s="40" t="n">
        <f aca="false">CF!E23</f>
        <v>0.26818865348424</v>
      </c>
      <c r="F18" s="40" t="n">
        <f aca="false">CF!F23</f>
        <v>0.280167512259688</v>
      </c>
      <c r="G18" s="40" t="n">
        <f aca="false">CF!G23</f>
        <v>0.279139290078325</v>
      </c>
    </row>
    <row r="19" customFormat="false" ht="15" hidden="false" customHeight="true" outlineLevel="0" collapsed="false">
      <c r="A19" s="57" t="s">
        <v>237</v>
      </c>
      <c r="B19" s="58"/>
      <c r="C19" s="58"/>
      <c r="D19" s="58"/>
      <c r="E19" s="58"/>
      <c r="F19" s="58"/>
      <c r="G19" s="58"/>
      <c r="H19" s="58"/>
    </row>
    <row r="20" customFormat="false" ht="15" hidden="false" customHeight="true" outlineLevel="0" collapsed="false">
      <c r="A20" s="19" t="s">
        <v>238</v>
      </c>
      <c r="B20" s="20" t="s">
        <v>239</v>
      </c>
      <c r="C20" s="60" t="str">
        <f aca="false">IF(AND(C8="✅  OK",C13="✅  OK"),"✅  MODEL IS CLEAN","❌  ERRORS EXIST — SEE ABOVE")</f>
        <v>❌  ERRORS EXIST — SEE ABOVE</v>
      </c>
      <c r="D20" s="60"/>
      <c r="E20" s="60"/>
      <c r="F20" s="60"/>
      <c r="G20" s="60"/>
    </row>
  </sheetData>
  <mergeCells count="2">
    <mergeCell ref="A3:G3"/>
    <mergeCell ref="C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5"/>
  </cols>
  <sheetData>
    <row r="1" customFormat="false" ht="30" hidden="false" customHeight="true" outlineLevel="0" collapsed="false">
      <c r="A1" s="61" t="s">
        <v>240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14" t="s">
        <v>241</v>
      </c>
      <c r="B2" s="14"/>
      <c r="C2" s="14"/>
      <c r="D2" s="14"/>
      <c r="E2" s="14"/>
      <c r="F2" s="14"/>
      <c r="G2" s="14"/>
    </row>
    <row r="3" customFormat="false" ht="15" hidden="false" customHeight="true" outlineLevel="0" collapsed="false">
      <c r="A3" s="15" t="s">
        <v>242</v>
      </c>
      <c r="B3" s="15" t="s">
        <v>46</v>
      </c>
      <c r="C3" s="16" t="s">
        <v>48</v>
      </c>
      <c r="D3" s="16" t="s">
        <v>49</v>
      </c>
      <c r="E3" s="16" t="s">
        <v>50</v>
      </c>
      <c r="F3" s="16" t="s">
        <v>51</v>
      </c>
      <c r="G3" s="16" t="s">
        <v>52</v>
      </c>
    </row>
    <row r="4" customFormat="false" ht="15" hidden="false" customHeight="true" outlineLevel="0" collapsed="false">
      <c r="A4" s="35" t="s">
        <v>243</v>
      </c>
      <c r="B4" s="36"/>
      <c r="C4" s="36"/>
      <c r="D4" s="36"/>
      <c r="E4" s="36"/>
      <c r="F4" s="36"/>
      <c r="G4" s="36"/>
      <c r="H4" s="36"/>
    </row>
    <row r="5" customFormat="false" ht="15" hidden="false" customHeight="true" outlineLevel="0" collapsed="false">
      <c r="A5" s="23" t="s">
        <v>20</v>
      </c>
      <c r="B5" s="62" t="s">
        <v>94</v>
      </c>
      <c r="C5" s="39" t="n">
        <f aca="false">IS!C3</f>
        <v>394328</v>
      </c>
      <c r="D5" s="39" t="n">
        <f aca="false">IS!D3</f>
        <v>383285</v>
      </c>
      <c r="E5" s="39" t="n">
        <f aca="false">IS!E3</f>
        <v>391721</v>
      </c>
      <c r="F5" s="39" t="n">
        <f aca="false">IS!F3</f>
        <v>416500</v>
      </c>
      <c r="G5" s="39" t="n">
        <f aca="false">IS!G3</f>
        <v>439500</v>
      </c>
    </row>
    <row r="6" customFormat="false" ht="15" hidden="false" customHeight="true" outlineLevel="0" collapsed="false">
      <c r="A6" s="23" t="s">
        <v>244</v>
      </c>
      <c r="B6" s="62" t="s">
        <v>100</v>
      </c>
      <c r="C6" s="33" t="s">
        <v>101</v>
      </c>
      <c r="D6" s="40" t="n">
        <f aca="false">Revenue!D9</f>
        <v>-0.0280046053031994</v>
      </c>
      <c r="E6" s="40" t="n">
        <f aca="false">Revenue!E9</f>
        <v>0.0220097316618182</v>
      </c>
      <c r="F6" s="40" t="n">
        <f aca="false">Revenue!F9</f>
        <v>0.063256756722259</v>
      </c>
      <c r="G6" s="40" t="n">
        <f aca="false">Revenue!G9</f>
        <v>0.0552220888355342</v>
      </c>
    </row>
    <row r="7" customFormat="false" ht="15" hidden="false" customHeight="true" outlineLevel="0" collapsed="false">
      <c r="A7" s="23" t="s">
        <v>143</v>
      </c>
      <c r="B7" s="62" t="s">
        <v>94</v>
      </c>
      <c r="C7" s="39" t="n">
        <f aca="false">IS!C5</f>
        <v>170783.4568</v>
      </c>
      <c r="D7" s="39" t="n">
        <f aca="false">IS!D5</f>
        <v>169143.6705</v>
      </c>
      <c r="E7" s="39" t="n">
        <f aca="false">IS!E5</f>
        <v>181383.2735</v>
      </c>
      <c r="F7" s="39" t="n">
        <f aca="false">IS!F5</f>
        <v>195613.087684</v>
      </c>
      <c r="G7" s="39" t="n">
        <f aca="false">IS!G5</f>
        <v>205777.59843</v>
      </c>
    </row>
    <row r="8" customFormat="false" ht="15" hidden="false" customHeight="true" outlineLevel="0" collapsed="false">
      <c r="A8" s="23" t="s">
        <v>59</v>
      </c>
      <c r="B8" s="62" t="s">
        <v>100</v>
      </c>
      <c r="C8" s="40" t="n">
        <f aca="false">IS!C6</f>
        <v>0.4331</v>
      </c>
      <c r="D8" s="40" t="n">
        <f aca="false">IS!D6</f>
        <v>0.4413</v>
      </c>
      <c r="E8" s="40" t="n">
        <f aca="false">IS!E6</f>
        <v>0.463041995450844</v>
      </c>
      <c r="F8" s="40" t="n">
        <f aca="false">IS!F6</f>
        <v>0.469659274151261</v>
      </c>
      <c r="G8" s="40" t="n">
        <f aca="false">IS!G6</f>
        <v>0.468208415085324</v>
      </c>
    </row>
    <row r="9" customFormat="false" ht="15" hidden="false" customHeight="true" outlineLevel="0" collapsed="false">
      <c r="A9" s="23" t="s">
        <v>148</v>
      </c>
      <c r="B9" s="62" t="s">
        <v>94</v>
      </c>
      <c r="C9" s="39" t="n">
        <f aca="false">IS!C11</f>
        <v>130545.9512</v>
      </c>
      <c r="D9" s="39" t="n">
        <f aca="false">IS!D11</f>
        <v>125814.587</v>
      </c>
      <c r="E9" s="39" t="n">
        <f aca="false">IS!E11</f>
        <v>135346.1285</v>
      </c>
      <c r="F9" s="39" t="n">
        <f aca="false">IS!F11</f>
        <v>145319.962924</v>
      </c>
      <c r="G9" s="39" t="n">
        <f aca="false">IS!G11</f>
        <v>151890.1404636</v>
      </c>
    </row>
    <row r="10" customFormat="false" ht="15" hidden="false" customHeight="true" outlineLevel="0" collapsed="false">
      <c r="A10" s="23" t="s">
        <v>149</v>
      </c>
      <c r="B10" s="62" t="s">
        <v>100</v>
      </c>
      <c r="C10" s="40" t="n">
        <f aca="false">IS!C12</f>
        <v>0.331059298857804</v>
      </c>
      <c r="D10" s="40" t="n">
        <f aca="false">IS!D12</f>
        <v>0.3282533545534</v>
      </c>
      <c r="E10" s="40" t="n">
        <f aca="false">IS!E12</f>
        <v>0.345516652158041</v>
      </c>
      <c r="F10" s="40" t="n">
        <f aca="false">IS!F12</f>
        <v>0.348907474007203</v>
      </c>
      <c r="G10" s="40" t="n">
        <f aca="false">IS!G12</f>
        <v>0.345597589223208</v>
      </c>
    </row>
    <row r="11" customFormat="false" ht="15" hidden="false" customHeight="true" outlineLevel="0" collapsed="false">
      <c r="A11" s="23" t="s">
        <v>245</v>
      </c>
      <c r="B11" s="62" t="s">
        <v>94</v>
      </c>
      <c r="C11" s="39" t="n">
        <f aca="false">IS!C14</f>
        <v>119441.9512</v>
      </c>
      <c r="D11" s="39" t="n">
        <f aca="false">IS!D14</f>
        <v>114295.587</v>
      </c>
      <c r="E11" s="39" t="n">
        <f aca="false">IS!E14</f>
        <v>123901.1285</v>
      </c>
      <c r="F11" s="39" t="n">
        <f aca="false">IS!F14</f>
        <v>133619.962924</v>
      </c>
      <c r="G11" s="39" t="n">
        <f aca="false">IS!G14</f>
        <v>139890.1404636</v>
      </c>
    </row>
    <row r="12" customFormat="false" ht="15" hidden="false" customHeight="true" outlineLevel="0" collapsed="false">
      <c r="A12" s="23" t="s">
        <v>152</v>
      </c>
      <c r="B12" s="62" t="s">
        <v>100</v>
      </c>
      <c r="C12" s="40" t="n">
        <f aca="false">IS!C15</f>
        <v>0.3029</v>
      </c>
      <c r="D12" s="40" t="n">
        <f aca="false">IS!D15</f>
        <v>0.2982</v>
      </c>
      <c r="E12" s="40" t="n">
        <f aca="false">IS!E15</f>
        <v>0.316299428675001</v>
      </c>
      <c r="F12" s="40" t="n">
        <f aca="false">IS!F15</f>
        <v>0.320816237512605</v>
      </c>
      <c r="G12" s="40" t="n">
        <f aca="false">IS!G15</f>
        <v>0.318293834956996</v>
      </c>
    </row>
    <row r="13" customFormat="false" ht="15" hidden="false" customHeight="true" outlineLevel="0" collapsed="false">
      <c r="A13" s="23" t="s">
        <v>246</v>
      </c>
      <c r="B13" s="62" t="s">
        <v>94</v>
      </c>
      <c r="C13" s="39" t="n">
        <f aca="false">IS!C19</f>
        <v>99812.4631056</v>
      </c>
      <c r="D13" s="39" t="n">
        <f aca="false">IS!D19</f>
        <v>97012.190711</v>
      </c>
      <c r="E13" s="39" t="n">
        <f aca="false">IS!E19</f>
        <v>94245.1275315</v>
      </c>
      <c r="F13" s="39" t="n">
        <f aca="false">IS!F19</f>
        <v>111988.76885616</v>
      </c>
      <c r="G13" s="39" t="n">
        <f aca="false">IS!G19</f>
        <v>117297.717989424</v>
      </c>
    </row>
    <row r="14" customFormat="false" ht="15" hidden="false" customHeight="true" outlineLevel="0" collapsed="false">
      <c r="A14" s="23" t="s">
        <v>157</v>
      </c>
      <c r="B14" s="62" t="s">
        <v>100</v>
      </c>
      <c r="C14" s="40" t="n">
        <f aca="false">IS!C20</f>
        <v>0.253120405108438</v>
      </c>
      <c r="D14" s="40" t="n">
        <f aca="false">IS!D20</f>
        <v>0.253107193631371</v>
      </c>
      <c r="E14" s="40" t="n">
        <f aca="false">IS!E20</f>
        <v>0.240592481719132</v>
      </c>
      <c r="F14" s="40" t="n">
        <f aca="false">IS!F20</f>
        <v>0.268880597493782</v>
      </c>
      <c r="G14" s="40" t="n">
        <f aca="false">IS!G20</f>
        <v>0.266889005664218</v>
      </c>
    </row>
    <row r="15" customFormat="false" ht="15" hidden="false" customHeight="true" outlineLevel="0" collapsed="false">
      <c r="A15" s="35" t="s">
        <v>247</v>
      </c>
      <c r="B15" s="36"/>
      <c r="C15" s="36"/>
      <c r="D15" s="36"/>
      <c r="E15" s="36"/>
      <c r="F15" s="36"/>
      <c r="G15" s="36"/>
      <c r="H15" s="36"/>
    </row>
    <row r="16" customFormat="false" ht="15" hidden="false" customHeight="true" outlineLevel="0" collapsed="false">
      <c r="A16" s="23" t="s">
        <v>248</v>
      </c>
      <c r="B16" s="62" t="s">
        <v>94</v>
      </c>
      <c r="C16" s="39" t="n">
        <f aca="false">CF!C8</f>
        <v>113052.4631056</v>
      </c>
      <c r="D16" s="39" t="n">
        <f aca="false">CF!D8</f>
        <v>104194.190711</v>
      </c>
      <c r="E16" s="39" t="n">
        <f aca="false">CF!E8</f>
        <v>114502.1275315</v>
      </c>
      <c r="F16" s="39" t="n">
        <f aca="false">CF!F8</f>
        <v>126465.76885616</v>
      </c>
      <c r="G16" s="39" t="n">
        <f aca="false">CF!G8</f>
        <v>132756.717989424</v>
      </c>
    </row>
    <row r="17" customFormat="false" ht="15" hidden="false" customHeight="true" outlineLevel="0" collapsed="false">
      <c r="A17" s="23" t="s">
        <v>249</v>
      </c>
      <c r="B17" s="62" t="s">
        <v>94</v>
      </c>
      <c r="C17" s="39" t="n">
        <f aca="false">Assumptions!C18</f>
        <v>10708</v>
      </c>
      <c r="D17" s="39" t="n">
        <f aca="false">Assumptions!D18</f>
        <v>10959</v>
      </c>
      <c r="E17" s="39" t="n">
        <f aca="false">Assumptions!E18</f>
        <v>9447</v>
      </c>
      <c r="F17" s="39" t="n">
        <f aca="false">Assumptions!F18</f>
        <v>9776</v>
      </c>
      <c r="G17" s="39" t="n">
        <f aca="false">Assumptions!G18</f>
        <v>10075</v>
      </c>
    </row>
    <row r="18" customFormat="false" ht="15" hidden="false" customHeight="true" outlineLevel="0" collapsed="false">
      <c r="A18" s="23" t="s">
        <v>250</v>
      </c>
      <c r="B18" s="62" t="s">
        <v>94</v>
      </c>
      <c r="C18" s="39" t="n">
        <f aca="false">CF!C22</f>
        <v>102344.4631056</v>
      </c>
      <c r="D18" s="39" t="n">
        <f aca="false">CF!D22</f>
        <v>93235.190711</v>
      </c>
      <c r="E18" s="39" t="n">
        <f aca="false">CF!E22</f>
        <v>105055.1275315</v>
      </c>
      <c r="F18" s="39" t="n">
        <f aca="false">CF!F22</f>
        <v>116689.76885616</v>
      </c>
      <c r="G18" s="39" t="n">
        <f aca="false">CF!G22</f>
        <v>122681.717989424</v>
      </c>
    </row>
    <row r="19" customFormat="false" ht="15" hidden="false" customHeight="true" outlineLevel="0" collapsed="false">
      <c r="A19" s="23" t="s">
        <v>217</v>
      </c>
      <c r="B19" s="62" t="s">
        <v>100</v>
      </c>
      <c r="C19" s="40" t="n">
        <f aca="false">CF!C23</f>
        <v>0.259541455604471</v>
      </c>
      <c r="D19" s="40" t="n">
        <f aca="false">CF!D23</f>
        <v>0.243252907656183</v>
      </c>
      <c r="E19" s="40" t="n">
        <f aca="false">CF!E23</f>
        <v>0.26818865348424</v>
      </c>
      <c r="F19" s="40" t="n">
        <f aca="false">CF!F23</f>
        <v>0.280167512259688</v>
      </c>
      <c r="G19" s="40" t="n">
        <f aca="false">CF!G23</f>
        <v>0.279139290078325</v>
      </c>
    </row>
    <row r="20" customFormat="false" ht="15" hidden="false" customHeight="true" outlineLevel="0" collapsed="false">
      <c r="A20" s="35" t="s">
        <v>251</v>
      </c>
      <c r="B20" s="36"/>
      <c r="C20" s="36"/>
      <c r="D20" s="36"/>
      <c r="E20" s="36"/>
      <c r="F20" s="36"/>
      <c r="G20" s="36"/>
      <c r="H20" s="36"/>
    </row>
    <row r="21" customFormat="false" ht="15" hidden="false" customHeight="true" outlineLevel="0" collapsed="false">
      <c r="A21" s="23" t="s">
        <v>252</v>
      </c>
      <c r="B21" s="62" t="s">
        <v>94</v>
      </c>
      <c r="C21" s="39" t="n">
        <f aca="false">BS!C5</f>
        <v>23646</v>
      </c>
      <c r="D21" s="39" t="n">
        <f aca="false">BS!D5</f>
        <v>29965</v>
      </c>
      <c r="E21" s="39" t="n">
        <f aca="false">BS!E5</f>
        <v>29943</v>
      </c>
      <c r="F21" s="39" t="n">
        <f aca="false">BS!F5</f>
        <v>70075.76885616</v>
      </c>
      <c r="G21" s="39" t="n">
        <f aca="false">BS!G5</f>
        <v>161033.255701744</v>
      </c>
    </row>
    <row r="22" customFormat="false" ht="15" hidden="false" customHeight="true" outlineLevel="0" collapsed="false">
      <c r="A22" s="23" t="s">
        <v>253</v>
      </c>
      <c r="B22" s="62" t="s">
        <v>94</v>
      </c>
      <c r="C22" s="39" t="n">
        <f aca="false">BS!C16</f>
        <v>316366</v>
      </c>
      <c r="D22" s="39" t="n">
        <f aca="false">BS!D16</f>
        <v>317045</v>
      </c>
      <c r="E22" s="39" t="n">
        <f aca="false">BS!E16</f>
        <v>328248</v>
      </c>
      <c r="F22" s="39" t="n">
        <f aca="false">BS!F16</f>
        <v>367109.76885616</v>
      </c>
      <c r="G22" s="39" t="n">
        <f aca="false">BS!G16</f>
        <v>456712.255701744</v>
      </c>
    </row>
    <row r="23" customFormat="false" ht="15" hidden="false" customHeight="true" outlineLevel="0" collapsed="false">
      <c r="A23" s="23" t="s">
        <v>254</v>
      </c>
      <c r="B23" s="62" t="s">
        <v>94</v>
      </c>
      <c r="C23" s="39" t="n">
        <f aca="false">BS!C20+BS!C25</f>
        <v>120069</v>
      </c>
      <c r="D23" s="39" t="n">
        <f aca="false">BS!D20+BS!D25</f>
        <v>111088</v>
      </c>
      <c r="E23" s="39" t="n">
        <f aca="false">BS!E20+BS!E25</f>
        <v>106629</v>
      </c>
      <c r="F23" s="39" t="n">
        <f aca="false">BS!F20+BS!F25</f>
        <v>100000</v>
      </c>
      <c r="G23" s="39" t="n">
        <f aca="false">BS!G20+BS!G25</f>
        <v>95000</v>
      </c>
    </row>
    <row r="24" customFormat="false" ht="15" hidden="false" customHeight="true" outlineLevel="0" collapsed="false">
      <c r="A24" s="23" t="s">
        <v>255</v>
      </c>
      <c r="B24" s="62" t="s">
        <v>94</v>
      </c>
      <c r="C24" s="39" t="n">
        <f aca="false">BS!C33</f>
        <v>50672</v>
      </c>
      <c r="D24" s="39" t="n">
        <f aca="false">BS!D33</f>
        <v>62146</v>
      </c>
      <c r="E24" s="39" t="n">
        <f aca="false">BS!E33</f>
        <v>56950</v>
      </c>
      <c r="F24" s="39" t="n">
        <f aca="false">BS!F33</f>
        <v>73334.76885616</v>
      </c>
      <c r="G24" s="39" t="n">
        <f aca="false">BS!G33</f>
        <v>99032.486845584</v>
      </c>
    </row>
    <row r="26" customFormat="false" ht="15" hidden="false" customHeight="true" outlineLevel="0" collapsed="false">
      <c r="A26" s="38" t="s">
        <v>256</v>
      </c>
      <c r="B26" s="38"/>
      <c r="C26" s="38"/>
      <c r="D26" s="38"/>
      <c r="E26" s="38"/>
      <c r="F26" s="38"/>
      <c r="G26" s="38"/>
    </row>
  </sheetData>
  <mergeCells count="2">
    <mergeCell ref="A2:G2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2026-03-14T12:07:55Z</dcterms:created>
  <dc:creator>openpyxl</dc:creator>
  <dc:description/>
  <dc:language>en-US</dc:language>
  <cp:lastModifiedBy/>
  <dcterms:modified xsi:type="dcterms:W3CDTF">2026-03-14T12:08:25Z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